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a32ea36629441e" /></Relationships>
</file>

<file path=xl/workbook.xml><?xml version="1.0" encoding="utf-8"?>
<x:workbook xmlns:x="http://schemas.openxmlformats.org/spreadsheetml/2006/main">
  <x:sheets>
    <x:sheet xmlns:r="http://schemas.openxmlformats.org/officeDocument/2006/relationships" name="Dashboard" sheetId="1" r:id="Rc6598b4b08c846a1"/>
    <x:sheet xmlns:r="http://schemas.openxmlformats.org/officeDocument/2006/relationships" name="Metrics" sheetId="2" r:id="R4d0625cfdf3b44aa"/>
    <x:sheet xmlns:r="http://schemas.openxmlformats.org/officeDocument/2006/relationships" name="Plan" sheetId="3" r:id="R20e16973554f4fc4"/>
    <x:sheet xmlns:r="http://schemas.openxmlformats.org/officeDocument/2006/relationships" name="Research" sheetId="4" r:id="R9698a5db1fce4eab"/>
    <x:sheet xmlns:r="http://schemas.openxmlformats.org/officeDocument/2006/relationships" name="SEO" sheetId="5" r:id="R2718971a204d493b"/>
    <x:sheet xmlns:r="http://schemas.openxmlformats.org/officeDocument/2006/relationships" name="Calendar" sheetId="6" r:id="R0dcd345f642e4955"/>
    <x:sheet xmlns:r="http://schemas.openxmlformats.org/officeDocument/2006/relationships" name="Content" sheetId="7" r:id="R25b513868a774d09"/>
    <x:sheet xmlns:r="http://schemas.openxmlformats.org/officeDocument/2006/relationships" name="Ads" sheetId="8" r:id="Rb1caa66d9b7b43b9"/>
    <x:sheet xmlns:r="http://schemas.openxmlformats.org/officeDocument/2006/relationships" name="Checklist" sheetId="9" r:id="Rca47101282c84098"/>
    <x:sheet xmlns:r="http://schemas.openxmlformats.org/officeDocument/2006/relationships" name="Organic pilot" sheetId="10" r:id="Ra1aea5a82885477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dd mmm yyyy"/>
    <x:numFmt numFmtId="201" formatCode="#,##0"/>
    <x:numFmt numFmtId="202" formatCode="0.0%"/>
    <x:numFmt numFmtId="203" formatCode="dd mmm yyyy hh:mm"/>
  </x:numFmts>
  <x:fonts count="9">
    <x:font>
      <x:sz val="11"/>
      <x:name val="Carlito"/>
    </x:font>
    <x:font>
      <x:sz val="10"/>
      <x:color rgb="FF283B37"/>
      <x:name val="Arial"/>
    </x:font>
    <x:font>
      <x:b/>
      <x:sz val="16"/>
      <x:color rgb="FF183D35"/>
      <x:name val="Arial"/>
    </x:font>
    <x:font>
      <x:i/>
      <x:sz val="10"/>
      <x:color rgb="FF65726D"/>
      <x:name val="Arial"/>
    </x:font>
    <x:font>
      <x:b/>
      <x:sz val="10"/>
      <x:color rgb="FFFFFFFF"/>
      <x:name val="Arial"/>
    </x:font>
    <x:font>
      <x:b/>
      <x:sz val="10"/>
      <x:color rgb="FF183D35"/>
      <x:name val="Arial"/>
    </x:font>
    <x:font>
      <x:b/>
      <x:sz val="10"/>
      <x:color rgb="FF283B37"/>
      <x:name val="Arial"/>
    </x:font>
    <x:font>
      <x:b/>
      <x:sz val="14"/>
      <x:color rgb="FF183D35"/>
      <x:name val="Carlito"/>
    </x:font>
    <x:font>
      <x:b/>
      <x:sz val="11"/>
      <x:color rgb="FFFFFFFF"/>
      <x:name val="Carlito"/>
    </x:font>
  </x:fonts>
  <x:fills count="7">
    <x:fill>
      <x:patternFill patternType="none"/>
    </x:fill>
    <x:fill>
      <x:patternFill patternType="gray125"/>
    </x:fill>
    <x:fill>
      <x:patternFill patternType="solid">
        <x:fgColor rgb="FF183D35"/>
      </x:patternFill>
    </x:fill>
    <x:fill>
      <x:patternFill patternType="solid">
        <x:fgColor rgb="FFF3F7F3"/>
      </x:patternFill>
    </x:fill>
    <x:fill>
      <x:patternFill patternType="solid">
        <x:fgColor rgb="FFFFF2D1"/>
      </x:patternFill>
    </x:fill>
    <x:fill>
      <x:patternFill patternType="solid">
        <x:fgColor rgb="FF183D35"/>
      </x:patternFill>
    </x:fill>
    <x:fill>
      <x:patternFill patternType="solid">
        <x:fgColor rgb="FFFFF2D1"/>
      </x:patternFill>
    </x:fill>
  </x:fills>
  <x:borders count="1">
    <x:border>
      <x:left/>
      <x:right/>
      <x:top/>
      <x:bottom/>
      <x:diagonal/>
    </x:border>
  </x:borders>
  <x:cellStyleXfs count="1">
    <x:xf numFmtId="0" fontId="0" fillId="0" borderId="0"/>
  </x:cellStyleXfs>
  <x:cellXfs count="3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0" fontId="5" fillId="0" borderId="0" xfId="0" applyNumberFormat="1" applyFont="1" applyFill="1" applyBorder="1" applyAlignment="1">
      <x:alignment vertical="center"/>
    </x:xf>
    <x:xf numFmtId="201" fontId="1" fillId="4"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2" fontId="1" fillId="3" borderId="0" xfId="0" applyNumberFormat="1" applyFont="1" applyFill="1" applyBorder="1" applyAlignment="1">
      <x:alignment vertical="top" wrapText="1"/>
    </x:xf>
    <x:xf numFmtId="202" fontId="1"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202" fontId="6" fillId="0" borderId="0" xfId="0" applyNumberFormat="1" applyFont="1" applyFill="1" applyBorder="1" applyAlignment="1">
      <x:alignment vertical="center"/>
    </x:xf>
    <x:xf numFmtId="0" fontId="7" fillId="0" borderId="0" xfId="0" applyNumberFormat="1" applyFont="1" applyFill="1" applyBorder="1"/>
    <x:xf numFmtId="0" fontId="0" fillId="5" borderId="0" xfId="0" applyNumberFormat="1" applyFont="1" applyFill="1" applyBorder="1"/>
    <x:xf numFmtId="0" fontId="8" fillId="5" borderId="0" xfId="0" applyNumberFormat="1" applyFont="1" applyFill="1" applyBorder="1"/>
    <x:xf numFmtId="0" fontId="8" fillId="5"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1"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203" fontId="1" fillId="6" borderId="0" xfId="0" applyNumberFormat="1" applyFont="1" applyFill="1" applyBorder="1" applyAlignment="1">
      <x:alignment vertical="top" wrapText="1"/>
    </x:xf>
  </x:cellXfs>
  <x:cellStyles count="1">
    <x:cellStyle name="Normal" xfId="0"/>
  </x:cellStyles>
  <x:dxfs count="1">
    <x:dxf>
      <x:font>
        <x:color rgb="FFA82D20"/>
      </x:font>
      <x:fill>
        <x:patternFill>
          <x:bgColor rgb="FFFBE3D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4400151f83e4875" /><Relationship Type="http://schemas.openxmlformats.org/officeDocument/2006/relationships/theme" Target="/xl/theme/theme1.xml" Id="R458df01e9a5e4f76" /><Relationship Type="http://schemas.openxmlformats.org/officeDocument/2006/relationships/sharedStrings" Target="/xl/sharedStrings.xml" Id="R5d802b238c7c4711" /><Relationship Type="http://schemas.openxmlformats.org/officeDocument/2006/relationships/worksheet" Target="/xl/worksheets/sheet1.xml" Id="Rc6598b4b08c846a1" /><Relationship Type="http://schemas.openxmlformats.org/officeDocument/2006/relationships/worksheet" Target="/xl/worksheets/sheet2.xml" Id="R4d0625cfdf3b44aa" /><Relationship Type="http://schemas.openxmlformats.org/officeDocument/2006/relationships/worksheet" Target="/xl/worksheets/sheet3.xml" Id="R20e16973554f4fc4" /><Relationship Type="http://schemas.openxmlformats.org/officeDocument/2006/relationships/worksheet" Target="/xl/worksheets/sheet4.xml" Id="R9698a5db1fce4eab" /><Relationship Type="http://schemas.openxmlformats.org/officeDocument/2006/relationships/worksheet" Target="/xl/worksheets/sheet5.xml" Id="R2718971a204d493b" /><Relationship Type="http://schemas.openxmlformats.org/officeDocument/2006/relationships/worksheet" Target="/xl/worksheets/sheet6.xml" Id="R0dcd345f642e4955" /><Relationship Type="http://schemas.openxmlformats.org/officeDocument/2006/relationships/worksheet" Target="/xl/worksheets/sheet7.xml" Id="R25b513868a774d09" /><Relationship Type="http://schemas.openxmlformats.org/officeDocument/2006/relationships/worksheet" Target="/xl/worksheets/sheet8.xml" Id="Rb1caa66d9b7b43b9" /><Relationship Type="http://schemas.openxmlformats.org/officeDocument/2006/relationships/worksheet" Target="/xl/worksheets/sheet9.xml" Id="Rca47101282c84098" /><Relationship Type="http://schemas.openxmlformats.org/officeDocument/2006/relationships/worksheet" Target="/xl/worksheets/sheet10.xml" Id="Ra1aea5a82885477e" /></Relationships>
</file>

<file path=xl/drawings/_rels/drawing1.xml.rels>&#65279;<?xml version="1.0" encoding="utf-8"?><Relationships xmlns="http://schemas.openxmlformats.org/package/2006/relationships"><Relationship Type="http://schemas.openxmlformats.org/officeDocument/2006/relationships/chart" Target="/xl/drawings/charts/chart1.xml" Id="R63f629980e394e7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Synthetic interactions by period</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Example interactions</c:v>
          </c:tx>
          <c:spPr>
            <a:solidFill xmlns:a="http://schemas.openxmlformats.org/drawingml/2006/main">
              <a:srgbClr val="183D35"/>
            </a:solidFill>
          </c:spPr>
          <c:invertIfNegative val="0"/>
          <c:cat>
            <c:strRef>
              <c:f>'Dashboard'!$A$19:$A$22</c:f>
              <c:strCache>
                <c:ptCount val="0"/>
              </c:strCache>
            </c:strRef>
          </c:cat>
          <c:val>
            <c:numRef>
              <c:f>'Dashboard'!$B$19:$B$22</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4</xdr:row>
      <xdr:rowOff>0</xdr:rowOff>
    </xdr:from>
    <xdr:to>
      <xdr:col>11</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3f629980e394e74"/>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91ce7dfda0c43c7" /></Relationships>
</file>

<file path=xl/worksheets/sheet1.xml><?xml version="1.0" encoding="utf-8"?>
<x:worksheet xmlns:x="http://schemas.openxmlformats.org/spreadsheetml/2006/main">
  <x:sheetPr>
    <x:tabColor rgb="FF183D35"/>
  </x:sheetPr>
  <x:sheetViews>
    <x:sheetView showGridLines="0" workbookViewId="0"/>
  </x:sheetViews>
  <x:sheetFormatPr defaultRowHeight="15"/>
  <x:cols>
    <x:col min="1" max="1" width="35" hidden="0" customWidth="1"/>
    <x:col min="2" max="2" width="23" hidden="0" customWidth="1"/>
    <x:col min="3" max="3" width="48"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s>
  <x:sheetData>
    <x:row r="1" ht="24" customHeight="1">
      <x:c r="A1" s="2"/>
      <x:c r="B1" s="2"/>
      <x:c r="C1" s="2"/>
      <x:c r="D1" s="2"/>
      <x:c r="E1" s="2"/>
      <x:c r="F1" s="2"/>
      <x:c r="G1" s="2"/>
      <x:c r="H1" s="2"/>
      <x:c r="I1" s="2"/>
      <x:c r="J1" s="2"/>
    </x:row>
    <x:row r="2" ht="24" customHeight="1">
      <x:c r="A2" s="3" t="str">
        <x:v>BookNest KPI dashboard</x:v>
      </x:c>
      <x:c r="B2" s="2"/>
      <x:c r="C2" s="2"/>
      <x:c r="D2" s="2"/>
      <x:c r="E2" s="2"/>
      <x:c r="F2" s="2"/>
      <x:c r="G2" s="2"/>
      <x:c r="H2" s="2"/>
      <x:c r="I2" s="2"/>
      <x:c r="J2" s="2"/>
    </x:row>
    <x:row r="3" ht="24" customHeight="1">
      <x:c r="A3" s="4" t="str">
        <x:v>SYNTHETIC EXAMPLE DATA - not actual performance, forecasts or targets. INR 0 spend.</x:v>
      </x:c>
      <x:c r="B3" s="2"/>
      <x:c r="C3" s="2"/>
      <x:c r="D3" s="2"/>
      <x:c r="E3" s="2"/>
      <x:c r="F3" s="2"/>
      <x:c r="G3" s="2"/>
      <x:c r="H3" s="2"/>
      <x:c r="I3" s="2"/>
      <x:c r="J3" s="2"/>
    </x:row>
    <x:row r="4" ht="24" customHeight="1">
      <x:c r="A4" s="2"/>
      <x:c r="B4" s="2"/>
      <x:c r="C4" s="2"/>
      <x:c r="D4" s="2"/>
      <x:c r="E4" s="2"/>
      <x:c r="F4" s="2"/>
      <x:c r="G4" s="2"/>
      <x:c r="H4" s="2"/>
      <x:c r="I4" s="2"/>
      <x:c r="J4" s="2"/>
    </x:row>
    <x:row r="5" ht="36" customHeight="1">
      <x:c r="A5" s="8" t="str">
        <x:v>Metric</x:v>
      </x:c>
      <x:c r="B5" s="8" t="str">
        <x:v>Example value</x:v>
      </x:c>
      <x:c r="C5" s="8" t="str">
        <x:v>Definition</x:v>
      </x:c>
      <x:c r="D5" s="2"/>
      <x:c r="E5" s="2"/>
      <x:c r="F5" s="2"/>
      <x:c r="G5" s="2"/>
      <x:c r="H5" s="2"/>
      <x:c r="I5" s="2"/>
      <x:c r="J5" s="2"/>
    </x:row>
    <x:row r="6" ht="36" customHeight="1">
      <x:c r="A6" s="10" t="str">
        <x:v>Feed posts</x:v>
      </x:c>
      <x:c r="B6" s="16" t="n">
        <x:f>'Metrics'!B10</x:f>
        <x:v>19</x:v>
      </x:c>
      <x:c r="C6" s="10" t="str">
        <x:v>Planned example feed assets</x:v>
      </x:c>
      <x:c r="D6" s="2"/>
      <x:c r="E6" s="2"/>
      <x:c r="F6" s="2"/>
      <x:c r="G6" s="2"/>
      <x:c r="H6" s="2"/>
      <x:c r="I6" s="2"/>
      <x:c r="J6" s="2"/>
    </x:row>
    <x:row r="7" ht="36" customHeight="1">
      <x:c r="A7" s="11" t="str">
        <x:v>Sum of weekly reach</x:v>
      </x:c>
      <x:c r="B7" s="17" t="n">
        <x:f>'Metrics'!C10</x:f>
        <x:v>7000</x:v>
      </x:c>
      <x:c r="C7" s="11" t="str">
        <x:v>Not unique monthly people</x:v>
      </x:c>
      <x:c r="D7" s="2"/>
      <x:c r="E7" s="2"/>
      <x:c r="F7" s="2"/>
      <x:c r="G7" s="2"/>
      <x:c r="H7" s="2"/>
      <x:c r="I7" s="2"/>
      <x:c r="J7" s="2"/>
    </x:row>
    <x:row r="8" ht="36" customHeight="1">
      <x:c r="A8" s="10" t="str">
        <x:v>Interactions</x:v>
      </x:c>
      <x:c r="B8" s="16" t="n">
        <x:f>'Metrics'!M10</x:f>
        <x:v>586</x:v>
      </x:c>
      <x:c r="C8" s="10" t="str">
        <x:v>Likes + comments + shares + saves</x:v>
      </x:c>
      <x:c r="D8" s="2"/>
      <x:c r="E8" s="2"/>
      <x:c r="F8" s="2"/>
      <x:c r="G8" s="2"/>
      <x:c r="H8" s="2"/>
      <x:c r="I8" s="2"/>
      <x:c r="J8" s="2"/>
    </x:row>
    <x:row r="9" ht="36" customHeight="1">
      <x:c r="A9" s="11" t="str">
        <x:v>Weighted interaction rate</x:v>
      </x:c>
      <x:c r="B9" s="19" t="n">
        <x:f>'Metrics'!N10</x:f>
        <x:v>0.08371428571428571</x:v>
      </x:c>
      <x:c r="C9" s="11" t="str">
        <x:v>Interactions / sum of weekly reach</x:v>
      </x:c>
      <x:c r="D9" s="2"/>
      <x:c r="E9" s="2"/>
      <x:c r="F9" s="2"/>
      <x:c r="G9" s="2"/>
      <x:c r="H9" s="2"/>
      <x:c r="I9" s="2"/>
      <x:c r="J9" s="2"/>
    </x:row>
    <x:row r="10" ht="36" customHeight="1">
      <x:c r="A10" s="10" t="str">
        <x:v>Bio-link CTR</x:v>
      </x:c>
      <x:c r="B10" s="18" t="n">
        <x:f>'Metrics'!O10</x:f>
        <x:v>0.4576271186440678</x:v>
      </x:c>
      <x:c r="C10" s="10" t="str">
        <x:v>Bio-link clicks / profile visits</x:v>
      </x:c>
      <x:c r="D10" s="2"/>
      <x:c r="E10" s="2"/>
      <x:c r="F10" s="2"/>
      <x:c r="G10" s="2"/>
      <x:c r="H10" s="2"/>
      <x:c r="I10" s="2"/>
      <x:c r="J10" s="2"/>
    </x:row>
    <x:row r="11" ht="36" customHeight="1">
      <x:c r="A11" s="11" t="str">
        <x:v>Tagged guide sessions</x:v>
      </x:c>
      <x:c r="B11" s="17" t="n">
        <x:f>'Metrics'!J10</x:f>
        <x:v>47</x:v>
      </x:c>
      <x:c r="C11" s="11" t="str">
        <x:v>Example attributed sessions</x:v>
      </x:c>
      <x:c r="D11" s="2"/>
      <x:c r="E11" s="2"/>
      <x:c r="F11" s="2"/>
      <x:c r="G11" s="2"/>
      <x:c r="H11" s="2"/>
      <x:c r="I11" s="2"/>
      <x:c r="J11" s="2"/>
    </x:row>
    <x:row r="12" ht="36" customHeight="1">
      <x:c r="A12" s="10" t="str">
        <x:v>Confirmed opt-ins</x:v>
      </x:c>
      <x:c r="B12" s="16" t="n">
        <x:f>'Metrics'!K10</x:f>
        <x:v>11</x:v>
      </x:c>
      <x:c r="C12" s="10" t="str">
        <x:v>Example subscriber events</x:v>
      </x:c>
      <x:c r="D12" s="2"/>
      <x:c r="E12" s="2"/>
      <x:c r="F12" s="2"/>
      <x:c r="G12" s="2"/>
      <x:c r="H12" s="2"/>
      <x:c r="I12" s="2"/>
      <x:c r="J12" s="2"/>
    </x:row>
    <x:row r="13" ht="36" customHeight="1">
      <x:c r="A13" s="11" t="str">
        <x:v>Subscriber conversion</x:v>
      </x:c>
      <x:c r="B13" s="19" t="n">
        <x:f>'Metrics'!P10</x:f>
        <x:v>0.23404255319148937</x:v>
      </x:c>
      <x:c r="C13" s="11" t="str">
        <x:v>Opt-ins / tagged guide sessions</x:v>
      </x:c>
      <x:c r="D13" s="2"/>
      <x:c r="E13" s="2"/>
      <x:c r="F13" s="2"/>
      <x:c r="G13" s="2"/>
      <x:c r="H13" s="2"/>
      <x:c r="I13" s="2"/>
      <x:c r="J13" s="2"/>
    </x:row>
    <x:row r="14" ht="36" customHeight="1">
      <x:c r="A14" s="10" t="str">
        <x:v>Spend INR</x:v>
      </x:c>
      <x:c r="B14" s="16" t="n">
        <x:f>'Metrics'!L10</x:f>
        <x:v>0</x:v>
      </x:c>
      <x:c r="C14" s="10" t="str">
        <x:v>No real or simulated paid expenditure</x:v>
      </x:c>
      <x:c r="D14" s="2"/>
      <x:c r="E14" s="2"/>
      <x:c r="F14" s="2"/>
      <x:c r="G14" s="2"/>
      <x:c r="H14" s="2"/>
      <x:c r="I14" s="2"/>
      <x:c r="J14" s="2"/>
    </x:row>
    <x:row r="15" ht="36" customHeight="1">
      <x:c r="A15" s="11" t="str">
        <x:v>CPC</x:v>
      </x:c>
      <x:c r="B15" s="17" t="str">
        <x:v>n.a.</x:v>
      </x:c>
      <x:c r="C15" s="11" t="str">
        <x:v>No paid clicks</x:v>
      </x:c>
      <x:c r="D15" s="2"/>
      <x:c r="E15" s="2"/>
      <x:c r="F15" s="2"/>
      <x:c r="G15" s="2"/>
      <x:c r="H15" s="2"/>
      <x:c r="I15" s="2"/>
      <x:c r="J15" s="2"/>
    </x:row>
    <x:row r="16" ht="36" customHeight="1">
      <x:c r="A16" s="10" t="str">
        <x:v>ROAS</x:v>
      </x:c>
      <x:c r="B16" s="16" t="str">
        <x:v>n.a.</x:v>
      </x:c>
      <x:c r="C16" s="10" t="str">
        <x:v>No attributed revenue or paid spend</x:v>
      </x:c>
      <x:c r="D16" s="2"/>
      <x:c r="E16" s="2"/>
      <x:c r="F16" s="2"/>
      <x:c r="G16" s="2"/>
      <x:c r="H16" s="2"/>
      <x:c r="I16" s="2"/>
      <x:c r="J16" s="2"/>
    </x:row>
    <x:row r="17" ht="24" customHeight="1">
      <x:c r="A17" s="2"/>
      <x:c r="B17" s="2"/>
      <x:c r="C17" s="2"/>
      <x:c r="D17" s="2"/>
      <x:c r="E17" s="2"/>
      <x:c r="F17" s="2"/>
      <x:c r="G17" s="2"/>
      <x:c r="H17" s="2"/>
      <x:c r="I17" s="2"/>
      <x:c r="J17" s="2"/>
    </x:row>
    <x:row r="18" ht="38" customHeight="1">
      <x:c r="A18" s="7" t="str">
        <x:v>Period</x:v>
      </x:c>
      <x:c r="B18" s="7" t="str">
        <x:v>Example interactions</x:v>
      </x:c>
      <x:c r="C18" s="7" t="str">
        <x:v>Period length (days)</x:v>
      </x:c>
      <x:c r="D18" s="2"/>
      <x:c r="E18" s="2"/>
      <x:c r="F18" s="2"/>
      <x:c r="G18" s="2"/>
      <x:c r="H18" s="2"/>
      <x:c r="I18" s="2"/>
      <x:c r="J18" s="2"/>
    </x:row>
    <x:row r="19" ht="38" customHeight="1">
      <x:c r="A19" s="9" t="str">
        <x:f>'Metrics'!A6</x:f>
        <x:v>Week 1 (days 1-7)</x:v>
      </x:c>
      <x:c r="B19" s="9" t="n">
        <x:f>'Metrics'!M6</x:f>
        <x:v>100</x:v>
      </x:c>
      <x:c r="C19" s="9" t="n">
        <x:v>7</x:v>
      </x:c>
      <x:c r="D19" s="2"/>
      <x:c r="E19" s="2"/>
      <x:c r="F19" s="2"/>
      <x:c r="G19" s="2"/>
      <x:c r="H19" s="2"/>
      <x:c r="I19" s="2"/>
      <x:c r="J19" s="2"/>
    </x:row>
    <x:row r="20" ht="38" customHeight="1">
      <x:c r="A20" s="9" t="str">
        <x:f>'Metrics'!A7</x:f>
        <x:v>Week 2 (days 8-14)</x:v>
      </x:c>
      <x:c r="B20" s="9" t="n">
        <x:f>'Metrics'!M7</x:f>
        <x:v>131</x:v>
      </x:c>
      <x:c r="C20" s="9" t="n">
        <x:v>7</x:v>
      </x:c>
      <x:c r="D20" s="2"/>
      <x:c r="E20" s="2" t="str">
        <x:v>Week 4 is 9 days; do not infer growth.</x:v>
      </x:c>
      <x:c r="F20" s="2"/>
      <x:c r="G20" s="2"/>
      <x:c r="H20" s="2"/>
      <x:c r="I20" s="2"/>
      <x:c r="J20" s="2"/>
    </x:row>
    <x:row r="21" ht="38" customHeight="1">
      <x:c r="A21" s="9" t="str">
        <x:f>'Metrics'!A8</x:f>
        <x:v>Week 3 (days 15-21)</x:v>
      </x:c>
      <x:c r="B21" s="9" t="n">
        <x:f>'Metrics'!M8</x:f>
        <x:v>160</x:v>
      </x:c>
      <x:c r="C21" s="9" t="n">
        <x:v>7</x:v>
      </x:c>
      <x:c r="D21" s="2"/>
      <x:c r="E21" s="2"/>
      <x:c r="F21" s="2"/>
      <x:c r="G21" s="2"/>
      <x:c r="H21" s="2"/>
      <x:c r="I21" s="2"/>
      <x:c r="J21" s="2"/>
    </x:row>
    <x:row r="22" ht="38" customHeight="1">
      <x:c r="A22" s="9" t="str">
        <x:f>'Metrics'!A9</x:f>
        <x:v>Week 4 (days 22-30)</x:v>
      </x:c>
      <x:c r="B22" s="9" t="n">
        <x:f>'Metrics'!M9</x:f>
        <x:v>195</x:v>
      </x:c>
      <x:c r="C22" s="9" t="n">
        <x:v>9</x:v>
      </x:c>
      <x:c r="D22" s="2"/>
      <x:c r="E22" s="2"/>
      <x:c r="F22" s="2"/>
      <x:c r="G22" s="2"/>
      <x:c r="H22" s="2"/>
      <x:c r="I22" s="2"/>
      <x:c r="J22" s="2"/>
    </x:row>
    <x:row r="23" ht="24" customHeight="1">
      <x:c r="A23" s="2"/>
      <x:c r="B23" s="2"/>
      <x:c r="C23" s="2"/>
      <x:c r="D23" s="2"/>
      <x:c r="E23" s="2"/>
      <x:c r="F23" s="2"/>
      <x:c r="G23" s="2"/>
      <x:c r="H23" s="2"/>
      <x:c r="I23" s="2"/>
      <x:c r="J23" s="2"/>
    </x:row>
  </x:sheetData>
  <x:pageMargins left="0.7" right="0.7" top="0.75" bottom="0.75" header="0.3" footer="0.3"/>
  <x:drawing xmlns:r="http://schemas.openxmlformats.org/officeDocument/2006/relationships" r:id="R391ce7dfda0c43c7"/>
</x:worksheet>
</file>

<file path=xl/worksheets/sheet2.xml><?xml version="1.0" encoding="utf-8"?>
<x:worksheet xmlns:x="http://schemas.openxmlformats.org/spreadsheetml/2006/main">
  <x:sheetViews>
    <x:sheetView showGridLines="0" workbookViewId="0">
      <x:pane xSplit="1" ySplit="12" topLeftCell="B13" activePane="bottomRight" state="frozen"/>
    </x:sheetView>
  </x:sheetViews>
  <x:sheetFormatPr defaultRowHeight="15"/>
  <x:cols>
    <x:col min="1" max="1" width="29" hidden="0" customWidth="1"/>
    <x:col min="2" max="2" width="14" hidden="0" customWidth="1"/>
    <x:col min="3" max="3" width="17" hidden="0" customWidth="1"/>
    <x:col min="4" max="4" width="14" hidden="0" customWidth="1"/>
    <x:col min="5" max="5" width="14" hidden="0" customWidth="1"/>
    <x:col min="6" max="6" width="14" hidden="0" customWidth="1"/>
    <x:col min="7" max="7" width="14" hidden="0" customWidth="1"/>
    <x:col min="8" max="8" width="18" hidden="0" customWidth="1"/>
    <x:col min="9" max="9" width="17" hidden="0" customWidth="1"/>
    <x:col min="10" max="10" width="20" hidden="0" customWidth="1"/>
    <x:col min="11" max="11" width="18" hidden="0" customWidth="1"/>
    <x:col min="12" max="12" width="17" hidden="0" customWidth="1"/>
    <x:col min="13" max="13" width="18" hidden="0" customWidth="1"/>
    <x:col min="14" max="14" width="22" hidden="0" customWidth="1"/>
    <x:col min="15" max="15" width="20" hidden="0" customWidth="1"/>
    <x:col min="16" max="16" width="25" hidden="0" customWidth="1"/>
  </x:cols>
  <x:sheetData>
    <x:row r="1" ht="24" customHeight="1">
      <x:c r="A1" s="2"/>
      <x:c r="B1" s="2"/>
      <x:c r="C1" s="2"/>
      <x:c r="D1" s="2"/>
      <x:c r="E1" s="2"/>
      <x:c r="F1" s="2"/>
      <x:c r="G1" s="2"/>
      <x:c r="H1" s="2"/>
      <x:c r="I1" s="2"/>
      <x:c r="J1" s="2"/>
      <x:c r="K1" s="2"/>
      <x:c r="L1" s="2"/>
      <x:c r="M1" s="2"/>
      <x:c r="N1" s="2"/>
      <x:c r="O1" s="2"/>
      <x:c r="P1" s="2"/>
    </x:row>
    <x:row r="2" ht="24" customHeight="1">
      <x:c r="A2" s="3" t="str">
        <x:v>Synthetic weekly inputs and calculations</x:v>
      </x:c>
      <x:c r="B2" s="2"/>
      <x:c r="C2" s="2"/>
      <x:c r="D2" s="2"/>
      <x:c r="E2" s="2"/>
      <x:c r="F2" s="2"/>
      <x:c r="G2" s="2"/>
      <x:c r="H2" s="2"/>
      <x:c r="I2" s="2"/>
      <x:c r="J2" s="2"/>
      <x:c r="K2" s="2"/>
      <x:c r="L2" s="2"/>
      <x:c r="M2" s="2"/>
      <x:c r="N2" s="2"/>
      <x:c r="O2" s="2"/>
      <x:c r="P2" s="2"/>
    </x:row>
    <x:row r="3" ht="24" customHeight="1">
      <x:c r="A3" s="4" t="str">
        <x:v>All inputs are examples. Week 4 has 9 days. Reach can repeat between weeks. Amber = editable input.</x:v>
      </x:c>
      <x:c r="B3" s="2"/>
      <x:c r="C3" s="2"/>
      <x:c r="D3" s="2"/>
      <x:c r="E3" s="2"/>
      <x:c r="F3" s="2"/>
      <x:c r="G3" s="2"/>
      <x:c r="H3" s="2"/>
      <x:c r="I3" s="2"/>
      <x:c r="J3" s="2"/>
      <x:c r="K3" s="2"/>
      <x:c r="L3" s="2"/>
      <x:c r="M3" s="2"/>
      <x:c r="N3" s="2"/>
      <x:c r="O3" s="2"/>
      <x:c r="P3" s="2"/>
    </x:row>
    <x:row r="4" ht="24" customHeight="1">
      <x:c r="A4" s="2"/>
      <x:c r="B4" s="2"/>
      <x:c r="C4" s="2"/>
      <x:c r="D4" s="2"/>
      <x:c r="E4" s="2"/>
      <x:c r="F4" s="2"/>
      <x:c r="G4" s="2"/>
      <x:c r="H4" s="2"/>
      <x:c r="I4" s="2"/>
      <x:c r="J4" s="2"/>
      <x:c r="K4" s="2"/>
      <x:c r="L4" s="2"/>
      <x:c r="M4" s="2"/>
      <x:c r="N4" s="2"/>
      <x:c r="O4" s="2"/>
      <x:c r="P4" s="2"/>
    </x:row>
    <x:row r="5" ht="36" customHeight="1">
      <x:c r="A5" s="8" t="str">
        <x:v>Period</x:v>
      </x:c>
      <x:c r="B5" s="8" t="str">
        <x:v>Feed posts</x:v>
      </x:c>
      <x:c r="C5" s="8" t="str">
        <x:v>Weekly reach</x:v>
      </x:c>
      <x:c r="D5" s="8" t="str">
        <x:v>Likes</x:v>
      </x:c>
      <x:c r="E5" s="8" t="str">
        <x:v>Comments</x:v>
      </x:c>
      <x:c r="F5" s="8" t="str">
        <x:v>Shares</x:v>
      </x:c>
      <x:c r="G5" s="8" t="str">
        <x:v>Saves</x:v>
      </x:c>
      <x:c r="H5" s="8" t="str">
        <x:v>Profile visits</x:v>
      </x:c>
      <x:c r="I5" s="8" t="str">
        <x:v>Bio-link clicks</x:v>
      </x:c>
      <x:c r="J5" s="8" t="str">
        <x:v>Tagged guide sessions</x:v>
      </x:c>
      <x:c r="K5" s="8" t="str">
        <x:v>Confirmed opt-ins</x:v>
      </x:c>
      <x:c r="L5" s="8" t="str">
        <x:v>Spend INR</x:v>
      </x:c>
      <x:c r="M5" s="8" t="str">
        <x:v>Interactions</x:v>
      </x:c>
      <x:c r="N5" s="8" t="str">
        <x:v>Interaction rate</x:v>
      </x:c>
      <x:c r="O5" s="8" t="str">
        <x:v>Bio-link CTR</x:v>
      </x:c>
      <x:c r="P5" s="8" t="str">
        <x:v>Subscriber conversion</x:v>
      </x:c>
    </x:row>
    <x:row r="6" ht="62" customHeight="1">
      <x:c r="A6" s="10" t="str">
        <x:v>Week 1 (days 1-7)</x:v>
      </x:c>
      <x:c r="B6" s="15" t="n">
        <x:v>4</x:v>
      </x:c>
      <x:c r="C6" s="15" t="n">
        <x:v>1200</x:v>
      </x:c>
      <x:c r="D6" s="15" t="n">
        <x:v>65</x:v>
      </x:c>
      <x:c r="E6" s="15" t="n">
        <x:v>12</x:v>
      </x:c>
      <x:c r="F6" s="15" t="n">
        <x:v>8</x:v>
      </x:c>
      <x:c r="G6" s="15" t="n">
        <x:v>15</x:v>
      </x:c>
      <x:c r="H6" s="15" t="n">
        <x:v>20</x:v>
      </x:c>
      <x:c r="I6" s="15" t="n">
        <x:v>9</x:v>
      </x:c>
      <x:c r="J6" s="15" t="n">
        <x:v>8</x:v>
      </x:c>
      <x:c r="K6" s="15" t="n">
        <x:v>1</x:v>
      </x:c>
      <x:c r="L6" s="15" t="n">
        <x:v>0</x:v>
      </x:c>
      <x:c r="M6" s="16" t="n">
        <x:f>IF(COUNT(D6:G6)&lt;4,"Missing input",SUM(D6:G6))</x:f>
        <x:v>100</x:v>
      </x:c>
      <x:c r="N6" s="18" t="n">
        <x:f>IF(OR(COUNT(C6)&lt;1,COUNT(M6)&lt;1),"Missing input",IF(C6=0,"n.a.",M6/C6))</x:f>
        <x:v>0.08333333333333333</x:v>
      </x:c>
      <x:c r="O6" s="18" t="n">
        <x:f>IF(COUNT(H6:I6)&lt;2,"Missing input",IF(H6=0,"n.a.",I6/H6))</x:f>
        <x:v>0.45</x:v>
      </x:c>
      <x:c r="P6" s="18" t="n">
        <x:f>IF(COUNT(J6:K6)&lt;2,"Missing input",IF(J6=0,"n.a.",K6/J6))</x:f>
        <x:v>0.125</x:v>
      </x:c>
    </x:row>
    <x:row r="7" ht="62" customHeight="1">
      <x:c r="A7" s="11" t="str">
        <x:v>Week 2 (days 8-14)</x:v>
      </x:c>
      <x:c r="B7" s="15" t="n">
        <x:v>5</x:v>
      </x:c>
      <x:c r="C7" s="15" t="n">
        <x:v>1600</x:v>
      </x:c>
      <x:c r="D7" s="15" t="n">
        <x:v>82</x:v>
      </x:c>
      <x:c r="E7" s="15" t="n">
        <x:v>15</x:v>
      </x:c>
      <x:c r="F7" s="15" t="n">
        <x:v>12</x:v>
      </x:c>
      <x:c r="G7" s="15" t="n">
        <x:v>22</x:v>
      </x:c>
      <x:c r="H7" s="15" t="n">
        <x:v>26</x:v>
      </x:c>
      <x:c r="I7" s="15" t="n">
        <x:v>12</x:v>
      </x:c>
      <x:c r="J7" s="15" t="n">
        <x:v>10</x:v>
      </x:c>
      <x:c r="K7" s="15" t="n">
        <x:v>2</x:v>
      </x:c>
      <x:c r="L7" s="15" t="n">
        <x:v>0</x:v>
      </x:c>
      <x:c r="M7" s="17" t="n">
        <x:f>IF(COUNT(D7:G7)&lt;4,"Missing input",SUM(D7:G7))</x:f>
        <x:v>131</x:v>
      </x:c>
      <x:c r="N7" s="19" t="n">
        <x:f>IF(OR(COUNT(C7)&lt;1,COUNT(M7)&lt;1),"Missing input",IF(C7=0,"n.a.",M7/C7))</x:f>
        <x:v>0.081875</x:v>
      </x:c>
      <x:c r="O7" s="19" t="n">
        <x:f>IF(COUNT(H7:I7)&lt;2,"Missing input",IF(H7=0,"n.a.",I7/H7))</x:f>
        <x:v>0.46153846153846156</x:v>
      </x:c>
      <x:c r="P7" s="19" t="n">
        <x:f>IF(COUNT(J7:K7)&lt;2,"Missing input",IF(J7=0,"n.a.",K7/J7))</x:f>
        <x:v>0.2</x:v>
      </x:c>
    </x:row>
    <x:row r="8" ht="62" customHeight="1">
      <x:c r="A8" s="10" t="str">
        <x:v>Week 3 (days 15-21)</x:v>
      </x:c>
      <x:c r="B8" s="15" t="n">
        <x:v>4</x:v>
      </x:c>
      <x:c r="C8" s="15" t="n">
        <x:v>1900</x:v>
      </x:c>
      <x:c r="D8" s="15" t="n">
        <x:v>94</x:v>
      </x:c>
      <x:c r="E8" s="15" t="n">
        <x:v>20</x:v>
      </x:c>
      <x:c r="F8" s="15" t="n">
        <x:v>16</x:v>
      </x:c>
      <x:c r="G8" s="15" t="n">
        <x:v>30</x:v>
      </x:c>
      <x:c r="H8" s="15" t="n">
        <x:v>32</x:v>
      </x:c>
      <x:c r="I8" s="15" t="n">
        <x:v>15</x:v>
      </x:c>
      <x:c r="J8" s="15" t="n">
        <x:v>13</x:v>
      </x:c>
      <x:c r="K8" s="15" t="n">
        <x:v>3</x:v>
      </x:c>
      <x:c r="L8" s="15" t="n">
        <x:v>0</x:v>
      </x:c>
      <x:c r="M8" s="16" t="n">
        <x:f>IF(COUNT(D8:G8)&lt;4,"Missing input",SUM(D8:G8))</x:f>
        <x:v>160</x:v>
      </x:c>
      <x:c r="N8" s="18" t="n">
        <x:f>IF(OR(COUNT(C8)&lt;1,COUNT(M8)&lt;1),"Missing input",IF(C8=0,"n.a.",M8/C8))</x:f>
        <x:v>0.08421052631578947</x:v>
      </x:c>
      <x:c r="O8" s="18" t="n">
        <x:f>IF(COUNT(H8:I8)&lt;2,"Missing input",IF(H8=0,"n.a.",I8/H8))</x:f>
        <x:v>0.46875</x:v>
      </x:c>
      <x:c r="P8" s="18" t="n">
        <x:f>IF(COUNT(J8:K8)&lt;2,"Missing input",IF(J8=0,"n.a.",K8/J8))</x:f>
        <x:v>0.23076923076923078</x:v>
      </x:c>
    </x:row>
    <x:row r="9" ht="62" customHeight="1">
      <x:c r="A9" s="11" t="str">
        <x:v>Week 4 (days 22-30)</x:v>
      </x:c>
      <x:c r="B9" s="15" t="n">
        <x:v>6</x:v>
      </x:c>
      <x:c r="C9" s="15" t="n">
        <x:v>2300</x:v>
      </x:c>
      <x:c r="D9" s="15" t="n">
        <x:v>112</x:v>
      </x:c>
      <x:c r="E9" s="15" t="n">
        <x:v>24</x:v>
      </x:c>
      <x:c r="F9" s="15" t="n">
        <x:v>21</x:v>
      </x:c>
      <x:c r="G9" s="15" t="n">
        <x:v>38</x:v>
      </x:c>
      <x:c r="H9" s="15" t="n">
        <x:v>40</x:v>
      </x:c>
      <x:c r="I9" s="15" t="n">
        <x:v>18</x:v>
      </x:c>
      <x:c r="J9" s="15" t="n">
        <x:v>16</x:v>
      </x:c>
      <x:c r="K9" s="15" t="n">
        <x:v>5</x:v>
      </x:c>
      <x:c r="L9" s="15" t="n">
        <x:v>0</x:v>
      </x:c>
      <x:c r="M9" s="17" t="n">
        <x:f>IF(COUNT(D9:G9)&lt;4,"Missing input",SUM(D9:G9))</x:f>
        <x:v>195</x:v>
      </x:c>
      <x:c r="N9" s="19" t="n">
        <x:f>IF(OR(COUNT(C9)&lt;1,COUNT(M9)&lt;1),"Missing input",IF(C9=0,"n.a.",M9/C9))</x:f>
        <x:v>0.08478260869565217</x:v>
      </x:c>
      <x:c r="O9" s="19" t="n">
        <x:f>IF(COUNT(H9:I9)&lt;2,"Missing input",IF(H9=0,"n.a.",I9/H9))</x:f>
        <x:v>0.45</x:v>
      </x:c>
      <x:c r="P9" s="19" t="n">
        <x:f>IF(COUNT(J9:K9)&lt;2,"Missing input",IF(J9=0,"n.a.",K9/J9))</x:f>
        <x:v>0.3125</x:v>
      </x:c>
    </x:row>
    <x:row r="10" ht="48" customHeight="1">
      <x:c r="A10" s="21" t="str">
        <x:v>Period sums / weighted rates</x:v>
      </x:c>
      <x:c r="B10" s="21" t="n">
        <x:f>IF(COUNT(B6:B9)&lt;4,"Missing input",SUM(B6:B9))</x:f>
        <x:v>19</x:v>
      </x:c>
      <x:c r="C10" s="21" t="n">
        <x:f>IF(COUNT(C6:C9)&lt;4,"Missing input",SUM(C6:C9))</x:f>
        <x:v>7000</x:v>
      </x:c>
      <x:c r="D10" s="21" t="n">
        <x:f>IF(COUNT(D6:D9)&lt;4,"Missing input",SUM(D6:D9))</x:f>
        <x:v>353</x:v>
      </x:c>
      <x:c r="E10" s="21" t="n">
        <x:f>IF(COUNT(E6:E9)&lt;4,"Missing input",SUM(E6:E9))</x:f>
        <x:v>71</x:v>
      </x:c>
      <x:c r="F10" s="21" t="n">
        <x:f>IF(COUNT(F6:F9)&lt;4,"Missing input",SUM(F6:F9))</x:f>
        <x:v>57</x:v>
      </x:c>
      <x:c r="G10" s="21" t="n">
        <x:f>IF(COUNT(G6:G9)&lt;4,"Missing input",SUM(G6:G9))</x:f>
        <x:v>105</x:v>
      </x:c>
      <x:c r="H10" s="21" t="n">
        <x:f>IF(COUNT(H6:H9)&lt;4,"Missing input",SUM(H6:H9))</x:f>
        <x:v>118</x:v>
      </x:c>
      <x:c r="I10" s="21" t="n">
        <x:f>IF(COUNT(I6:I9)&lt;4,"Missing input",SUM(I6:I9))</x:f>
        <x:v>54</x:v>
      </x:c>
      <x:c r="J10" s="21" t="n">
        <x:f>IF(COUNT(J6:J9)&lt;4,"Missing input",SUM(J6:J9))</x:f>
        <x:v>47</x:v>
      </x:c>
      <x:c r="K10" s="21" t="n">
        <x:f>IF(COUNT(K6:K9)&lt;4,"Missing input",SUM(K6:K9))</x:f>
        <x:v>11</x:v>
      </x:c>
      <x:c r="L10" s="21" t="n">
        <x:f>IF(COUNT(L6:L9)&lt;4,"Missing input",SUM(L6:L9))</x:f>
        <x:v>0</x:v>
      </x:c>
      <x:c r="M10" s="21" t="n">
        <x:f>IF(COUNT(M6:M9)&lt;4,"Missing input",SUM(M6:M9))</x:f>
        <x:v>586</x:v>
      </x:c>
      <x:c r="N10" s="22" t="n">
        <x:f>IF(OR(COUNT(M10)&lt;1,COUNT(C10)&lt;1),"Missing input",IF(C10=0,"n.a.",M10/C10))</x:f>
        <x:v>0.08371428571428571</x:v>
      </x:c>
      <x:c r="O10" s="22" t="n">
        <x:f>IF(OR(COUNT(I10)&lt;1,COUNT(H10)&lt;1),"Missing input",IF(H10=0,"n.a.",I10/H10))</x:f>
        <x:v>0.4576271186440678</x:v>
      </x:c>
      <x:c r="P10" s="22" t="n">
        <x:f>IF(OR(COUNT(K10)&lt;1,COUNT(J10)&lt;1),"Missing input",IF(J10=0,"n.a.",K10/J10))</x:f>
        <x:v>0.23404255319148937</x:v>
      </x:c>
    </x:row>
    <x:row r="11" ht="24" customHeight="1">
      <x:c r="A11" s="2"/>
      <x:c r="B11" s="2"/>
      <x:c r="C11" s="2"/>
      <x:c r="D11" s="2"/>
      <x:c r="E11" s="2"/>
      <x:c r="F11" s="2"/>
      <x:c r="G11" s="2"/>
      <x:c r="H11" s="2"/>
      <x:c r="I11" s="2"/>
      <x:c r="J11" s="2"/>
      <x:c r="K11" s="2"/>
      <x:c r="L11" s="2"/>
      <x:c r="M11" s="2"/>
      <x:c r="N11" s="2"/>
      <x:c r="O11" s="2"/>
      <x:c r="P11" s="2"/>
    </x:row>
    <x:row r="12" ht="36" customHeight="1">
      <x:c r="A12" s="8" t="str">
        <x:v>Definition</x:v>
      </x:c>
      <x:c r="B12" s="8" t="str">
        <x:v>Meaning</x:v>
      </x:c>
      <x:c r="C12" s="2"/>
      <x:c r="D12" s="2"/>
      <x:c r="E12" s="2"/>
      <x:c r="F12" s="2"/>
      <x:c r="G12" s="2"/>
      <x:c r="H12" s="2"/>
      <x:c r="I12" s="2"/>
      <x:c r="J12" s="2"/>
      <x:c r="K12" s="2"/>
      <x:c r="L12" s="2"/>
      <x:c r="M12" s="2"/>
      <x:c r="N12" s="2"/>
      <x:c r="O12" s="2"/>
      <x:c r="P12" s="2"/>
    </x:row>
    <x:row r="13" ht="55" customHeight="1">
      <x:c r="A13" s="10" t="str">
        <x:v>Scope</x:v>
      </x:c>
      <x:c r="B13" s="10" t="str">
        <x:v>Feed interaction rate uses feed reach and interactions. Story votes/replies are excluded from this example.</x:v>
      </x:c>
      <x:c r="C13" s="2"/>
      <x:c r="D13" s="2"/>
      <x:c r="E13" s="2"/>
      <x:c r="F13" s="2"/>
      <x:c r="G13" s="2"/>
      <x:c r="H13" s="2"/>
      <x:c r="I13" s="2"/>
      <x:c r="J13" s="2"/>
      <x:c r="K13" s="2"/>
      <x:c r="L13" s="2"/>
      <x:c r="M13" s="2"/>
      <x:c r="N13" s="2"/>
      <x:c r="O13" s="2"/>
      <x:c r="P13" s="2"/>
    </x:row>
    <x:row r="14" ht="55" customHeight="1">
      <x:c r="A14" s="11" t="str">
        <x:v>Reach</x:v>
      </x:c>
      <x:c r="B14" s="11" t="str">
        <x:v>Weekly reach is unique within a week, not across the month. Total C10 is a sum of weekly reach.</x:v>
      </x:c>
      <x:c r="C14" s="2"/>
      <x:c r="D14" s="2"/>
      <x:c r="E14" s="2"/>
      <x:c r="F14" s="2"/>
      <x:c r="G14" s="2"/>
      <x:c r="H14" s="2"/>
      <x:c r="I14" s="2"/>
      <x:c r="J14" s="2"/>
      <x:c r="K14" s="2"/>
      <x:c r="L14" s="2"/>
      <x:c r="M14" s="2"/>
      <x:c r="N14" s="2"/>
      <x:c r="O14" s="2"/>
      <x:c r="P14" s="2"/>
    </x:row>
    <x:row r="15" ht="55" customHeight="1">
      <x:c r="A15" s="10" t="str">
        <x:v>Rates</x:v>
      </x:c>
      <x:c r="B15" s="10" t="str">
        <x:v>Weighted interaction rate = interactions / sum of weekly reach. Bio-link CTR = bio-link clicks / profile visits.</x:v>
      </x:c>
      <x:c r="C15" s="2"/>
      <x:c r="D15" s="2"/>
      <x:c r="E15" s="2"/>
      <x:c r="F15" s="2"/>
      <x:c r="G15" s="2"/>
      <x:c r="H15" s="2"/>
      <x:c r="I15" s="2"/>
      <x:c r="J15" s="2"/>
      <x:c r="K15" s="2"/>
      <x:c r="L15" s="2"/>
      <x:c r="M15" s="2"/>
      <x:c r="N15" s="2"/>
      <x:c r="O15" s="2"/>
      <x:c r="P15" s="2"/>
    </x:row>
    <x:row r="16" ht="55" customHeight="1">
      <x:c r="A16" s="11" t="str">
        <x:v>Conversion</x:v>
      </x:c>
      <x:c r="B16" s="11" t="str">
        <x:v>Confirmed opt-ins / tagged guide sessions. Counts refer to the same attributed demo-guide audience and period.</x:v>
      </x:c>
      <x:c r="C16" s="2"/>
      <x:c r="D16" s="2"/>
      <x:c r="E16" s="2"/>
      <x:c r="F16" s="2"/>
      <x:c r="G16" s="2"/>
      <x:c r="H16" s="2"/>
      <x:c r="I16" s="2"/>
      <x:c r="J16" s="2"/>
      <x:c r="K16" s="2"/>
      <x:c r="L16" s="2"/>
      <x:c r="M16" s="2"/>
      <x:c r="N16" s="2"/>
      <x:c r="O16" s="2"/>
      <x:c r="P16" s="2"/>
    </x:row>
    <x:row r="17" ht="55" customHeight="1">
      <x:c r="A17" s="10" t="str">
        <x:v>Actuals sources</x:v>
      </x:c>
      <x:c r="B17" s="10" t="str">
        <x:v>If publishing: native post/profile analytics; tagged guide session export; confirmed subscription events. No actual extracts exist.</x:v>
      </x:c>
      <x:c r="C17" s="2"/>
      <x:c r="D17" s="2"/>
      <x:c r="E17" s="2"/>
      <x:c r="F17" s="2"/>
      <x:c r="G17" s="2"/>
      <x:c r="H17" s="2"/>
      <x:c r="I17" s="2"/>
      <x:c r="J17" s="2"/>
      <x:c r="K17" s="2"/>
      <x:c r="L17" s="2"/>
      <x:c r="M17" s="2"/>
      <x:c r="N17" s="2"/>
      <x:c r="O17" s="2"/>
      <x:c r="P17" s="2"/>
    </x:row>
    <x:row r="18" ht="55" customHeight="1">
      <x:c r="A18" s="11" t="str">
        <x:v>Tracking</x:v>
      </x:c>
      <x:c r="B18" s="11" t="str">
        <x:v>Proposed tag: utm_source=instagram&amp;utm_medium=organic_social&amp;utm_campaign=booknest_portfolio&amp;utm_content=day17.</x:v>
      </x:c>
      <x:c r="C18" s="2"/>
      <x:c r="D18" s="2"/>
      <x:c r="E18" s="2"/>
      <x:c r="F18" s="2"/>
      <x:c r="G18" s="2"/>
      <x:c r="H18" s="2"/>
      <x:c r="I18" s="2"/>
      <x:c r="J18" s="2"/>
      <x:c r="K18" s="2"/>
      <x:c r="L18" s="2"/>
      <x:c r="M18" s="2"/>
      <x:c r="N18" s="2"/>
      <x:c r="O18" s="2"/>
      <x:c r="P18" s="2"/>
    </x:row>
    <x:row r="19" ht="55" customHeight="1">
      <x:c r="A19" s="10" t="str">
        <x:v>Missing vs zero</x:v>
      </x:c>
      <x:c r="B19" s="10" t="str">
        <x:v>Blank required input -&gt; Missing input. Known zero denominator -&gt; n.a. Do not fill missing observations with zero.</x:v>
      </x:c>
      <x:c r="C19" s="2"/>
      <x:c r="D19" s="2"/>
      <x:c r="E19" s="2"/>
      <x:c r="F19" s="2"/>
      <x:c r="G19" s="2"/>
      <x:c r="H19" s="2"/>
      <x:c r="I19" s="2"/>
      <x:c r="J19" s="2"/>
      <x:c r="K19" s="2"/>
      <x:c r="L19" s="2"/>
      <x:c r="M19" s="2"/>
      <x:c r="N19" s="2"/>
      <x:c r="O19" s="2"/>
      <x:c r="P19" s="2"/>
    </x:row>
    <x:row r="20" ht="55" customHeight="1">
      <x:c r="A20" s="11" t="str">
        <x:v>Refresh</x:v>
      </x:c>
      <x:c r="B20" s="11" t="str">
        <x:v>Edit B6:L9 only for this 4-period model. Save actuals separately, update labels and evidence. Formulas are bounded to four rows.</x:v>
      </x:c>
      <x:c r="C20" s="2"/>
      <x:c r="D20" s="2"/>
      <x:c r="E20" s="2"/>
      <x:c r="F20" s="2"/>
      <x:c r="G20" s="2"/>
      <x:c r="H20" s="2"/>
      <x:c r="I20" s="2"/>
      <x:c r="J20" s="2"/>
      <x:c r="K20" s="2"/>
      <x:c r="L20" s="2"/>
      <x:c r="M20" s="2"/>
      <x:c r="N20" s="2"/>
      <x:c r="O20" s="2"/>
      <x:c r="P20" s="2"/>
    </x:row>
  </x:sheetData>
  <x:dataValidations count="1">
    <x:dataValidation type="whole" operator="greaterThanOrEqual" sqref="B6:L9">
      <x:formula1>0</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1" ySplit="16" topLeftCell="B17" activePane="bottomRight" state="frozen"/>
    </x:sheetView>
  </x:sheetViews>
  <x:sheetFormatPr defaultRowHeight="15"/>
  <x:cols>
    <x:col min="1" max="1" width="30" hidden="0" customWidth="1"/>
    <x:col min="2" max="2" width="105" hidden="0" customWidth="1"/>
    <x:col min="3" max="3" width="20" hidden="0" customWidth="1"/>
  </x:cols>
  <x:sheetData>
    <x:row r="1" ht="24" customHeight="1">
      <x:c r="A1" s="2"/>
      <x:c r="B1" s="2"/>
      <x:c r="C1" s="2"/>
    </x:row>
    <x:row r="2" ht="24" customHeight="1">
      <x:c r="A2" s="3" t="str">
        <x:v>BookNest portfolio plan</x:v>
      </x:c>
      <x:c r="B2" s="2"/>
      <x:c r="C2" s="2"/>
    </x:row>
    <x:row r="3" ht="24" customHeight="1">
      <x:c r="A3" s="4" t="str">
        <x:v>Updated 17 Oct 2026: 5 designed carousels, 2-site public-page review. No live campaign results.</x:v>
      </x:c>
      <x:c r="B3" s="2"/>
      <x:c r="C3" s="2"/>
    </x:row>
    <x:row r="4" ht="24" customHeight="1">
      <x:c r="A4" s="2"/>
      <x:c r="B4" s="2"/>
      <x:c r="C4" s="2"/>
    </x:row>
    <x:row r="5" ht="36" customHeight="1">
      <x:c r="A5" s="8" t="str">
        <x:v>Assumption</x:v>
      </x:c>
      <x:c r="B5" s="8" t="str">
        <x:v>Project basis</x:v>
      </x:c>
      <x:c r="C5" s="2"/>
    </x:row>
    <x:row r="6" ht="48" customHeight="1">
      <x:c r="A6" s="10" t="str">
        <x:v>Brand</x:v>
      </x:c>
      <x:c r="B6" s="10" t="str">
        <x:v>BookNest is fictional. No store, inventory, orders or customers exist.</x:v>
      </x:c>
      <x:c r="C6" s="2"/>
    </x:row>
    <x:row r="7" ht="48" customHeight="1">
      <x:c r="A7" s="11" t="str">
        <x:v>Audience hypothesis</x:v>
      </x:c>
      <x:c r="B7" s="11" t="str">
        <x:v>Indian students and early-career readers, ages 18-30; English-language content initially. Validate with voluntary conversations.</x:v>
      </x:c>
      <x:c r="C7" s="2"/>
    </x:row>
    <x:row r="8" ht="48" customHeight="1">
      <x:c r="A8" s="10" t="str">
        <x:v>Positioning hypothesis</x:v>
      </x:c>
      <x:c r="B8" s="10" t="str">
        <x:v>Helpful, spoiler-free reading guidance and a welcoming reader community.</x:v>
      </x:c>
      <x:c r="C8" s="2"/>
    </x:row>
    <x:row r="9" ht="48" customHeight="1">
      <x:c r="A9" s="11" t="str">
        <x:v>Budget</x:v>
      </x:c>
      <x:c r="B9" s="11" t="str">
        <x:v>INR 0 cash expenditure. Use existing device/internet and free features only. Time is unpaid personal project effort.</x:v>
      </x:c>
      <x:c r="C9" s="2"/>
    </x:row>
    <x:row r="10" ht="48" customHeight="1">
      <x:c r="A10" s="10" t="str">
        <x:v>Scope</x:v>
      </x:c>
      <x:c r="B10" s="10" t="str">
        <x:v>Core assets plus 26 designed slides complete. Two public homepages reviewed; wider fieldwork, publishing, email sending and tracking setup remain unexecuted.</x:v>
      </x:c>
      <x:c r="C10" s="2"/>
    </x:row>
    <x:row r="11" ht="48" customHeight="1">
      <x:c r="A11" s="11" t="str">
        <x:v>Period</x:v>
      </x:c>
      <x:c r="B11" s="11" t="str">
        <x:v>Core plan prepared 12 October 2026; upgrade and evidence review 17 October 2026. Calendar remains relative Day 1-30.</x:v>
      </x:c>
      <x:c r="C11" s="2"/>
    </x:row>
    <x:row r="12" ht="48" customHeight="1">
      <x:c r="A12" s="10" t="str">
        <x:v>Measurement</x:v>
      </x:c>
      <x:c r="B12" s="10" t="str">
        <x:v>All dashboard counts are synthetic examples, not achieved outcomes, targets or forecasts.</x:v>
      </x:c>
      <x:c r="C12" s="2"/>
    </x:row>
    <x:row r="13" ht="48" customHeight="1">
      <x:c r="A13" s="11" t="str">
        <x:v>Sales</x:v>
      </x:c>
      <x:c r="B13" s="11" t="str">
        <x:v>No checkout or commercial offers. Calls to action invite reading discussion or link to a demo article after publication.</x:v>
      </x:c>
      <x:c r="C13" s="2"/>
    </x:row>
    <x:row r="14" ht="24" customHeight="1">
      <x:c r="A14" s="2"/>
      <x:c r="B14" s="2"/>
      <x:c r="C14" s="2"/>
    </x:row>
    <x:row r="15" ht="24" customHeight="1">
      <x:c r="A15" s="2"/>
      <x:c r="B15" s="2"/>
      <x:c r="C15" s="2"/>
    </x:row>
    <x:row r="16" ht="36" customHeight="1">
      <x:c r="A16" s="8" t="str">
        <x:v>CV field</x:v>
      </x:c>
      <x:c r="B16" s="8" t="str">
        <x:v>Suggested wording</x:v>
      </x:c>
      <x:c r="C16" s="2"/>
    </x:row>
    <x:row r="17" ht="72" customHeight="1">
      <x:c r="A17" s="10" t="str">
        <x:v>Project title</x:v>
      </x:c>
      <x:c r="B17" s="10" t="str">
        <x:v>BookNest - Digital Marketing Portfolio (Fictional Brand)</x:v>
      </x:c>
      <x:c r="C17" s="2"/>
    </x:row>
    <x:row r="18" ht="72" customHeight="1">
      <x:c r="A18" s="11" t="str">
        <x:v>Bullet 1</x:v>
      </x:c>
      <x:c r="B18" s="11" t="str">
        <x:v>Developed a zero-budget digital marketing plan for a fictional Indian online bookstore, covering SEO, Instagram content, email and an offline search-ad simulation.</x:v>
      </x:c>
      <x:c r="C18" s="2"/>
    </x:row>
    <x:row r="19" ht="72" customHeight="1">
      <x:c r="A19" s="10" t="str">
        <x:v>Bullet 2</x:v>
      </x:c>
      <x:c r="B19" s="10" t="str">
        <x:v>Created 20 SEO keyword ideas, a 30-day Instagram calendar, five designed carousels (26 slides), an original blog draft and two email templates.</x:v>
      </x:c>
      <x:c r="C19" s="2"/>
    </x:row>
    <x:row r="20" ht="72" customHeight="1">
      <x:c r="A20" s="11" t="str">
        <x:v>Bullet 3</x:v>
      </x:c>
      <x:c r="B20" s="11" t="str">
        <x:v>Reviewed public homepage content from two bookstores and linked observations to campaign decisions; built an Excel dashboard using clearly labeled synthetic data.</x:v>
      </x:c>
      <x:c r="C20" s="2"/>
    </x:row>
    <x:row r="21" ht="72" customHeight="1">
      <x:c r="A21" s="10" t="str">
        <x:v>Usage</x:v>
      </x:c>
      <x:c r="B21" s="10" t="str">
        <x:v>Use after reviewing and personalising the assets. Disclose AI assistance if asked. Do not claim live campaign outcomes, completed 3-site audits, rankings, sales or engagement growth.</x:v>
      </x:c>
      <x:c r="C21" s="2"/>
    </x:row>
    <x:row r="22" ht="72" customHeight="1">
      <x:c r="A22" s="11" t="str">
        <x:v>Optional later bullet</x:v>
      </x:c>
      <x:c r="B22" s="11" t="str">
        <x:v>After publishing and measuring: "Published [N] posts over [dates] and recorded [metric] from [source] using a consistent [window]." Replace brackets only with documented facts.</x:v>
      </x:c>
      <x:c r="C22" s="2"/>
    </x:row>
    <x:row r="23" ht="24" customHeight="1">
      <x:c r="A23" s="2"/>
      <x:c r="B23" s="2"/>
      <x:c r="C23" s="2"/>
    </x:row>
    <x:row r="24" ht="24" customHeight="1">
      <x:c r="A24" s="2"/>
      <x:c r="B24" s="2"/>
      <x:c r="C24" s="2"/>
    </x:row>
    <x:row r="25" ht="40" customHeight="1">
      <x:c r="A25" s="2" t="str">
        <x:v>Input legend</x:v>
      </x:c>
      <x:c r="B25" s="9" t="str">
        <x:v>Amber = editable fields. White calculated metric cells = formulas.</x:v>
      </x:c>
      <x:c r="C25" s="2"/>
    </x:row>
    <x:row r="26" ht="24" customHeight="1">
      <x:c r="A26" s="2"/>
      <x:c r="B26" s="2"/>
      <x:c r="C26" s="2"/>
    </x:row>
    <x:row r="27" ht="24" customHeight="1">
      <x:c r="A27" s="2"/>
      <x:c r="B27" s="2"/>
      <x:c r="C27" s="2"/>
    </x:row>
    <x:row r="28" ht="24" customHeight="1">
      <x:c r="A28" s="2"/>
      <x:c r="B28" s="2"/>
      <x:c r="C28" s="2"/>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6" hidden="0" customWidth="1"/>
    <x:col min="2" max="2" width="22" hidden="0" customWidth="1"/>
    <x:col min="3" max="3" width="65" hidden="0" customWidth="1"/>
    <x:col min="4" max="4" width="48" hidden="0" customWidth="1"/>
    <x:col min="5" max="5" width="55" hidden="0" customWidth="1"/>
    <x:col min="6" max="6" width="28" hidden="0" customWidth="1"/>
    <x:col min="7" max="7" width="18" hidden="0" customWidth="1"/>
    <x:col min="8" max="8" width="65" hidden="0" customWidth="1"/>
    <x:col min="9" max="9" width="55" hidden="0" customWidth="1"/>
    <x:col min="10" max="10" width="24" hidden="0" customWidth="1"/>
  </x:cols>
  <x:sheetData>
    <x:row r="1" ht="24" customHeight="1">
      <x:c r="A1" s="2"/>
      <x:c r="B1" s="2"/>
      <x:c r="C1" s="2"/>
      <x:c r="D1" s="2"/>
      <x:c r="E1" s="2"/>
      <x:c r="F1" s="2"/>
      <x:c r="G1" s="2"/>
      <x:c r="H1" s="2"/>
      <x:c r="I1" s="2"/>
      <x:c r="J1" s="2"/>
    </x:row>
    <x:row r="2" ht="24" customHeight="1">
      <x:c r="A2" s="3" t="str">
        <x:v>Competitor evidence capture</x:v>
      </x:c>
      <x:c r="B2" s="2"/>
      <x:c r="C2" s="2"/>
      <x:c r="D2" s="2"/>
      <x:c r="E2" s="2"/>
      <x:c r="F2" s="2"/>
      <x:c r="G2" s="2"/>
      <x:c r="H2" s="2"/>
      <x:c r="I2" s="2"/>
      <x:c r="J2" s="2"/>
    </x:row>
    <x:row r="3" ht="24" customHeight="1">
      <x:c r="A3" s="4" t="str">
        <x:v>17 Oct 2026: limited homepage-text review below. Original 24-task framework remains open.</x:v>
      </x:c>
      <x:c r="B3" s="2"/>
      <x:c r="C3" s="2"/>
      <x:c r="D3" s="2"/>
      <x:c r="E3" s="2"/>
      <x:c r="F3" s="2"/>
      <x:c r="G3" s="2"/>
      <x:c r="H3" s="2"/>
      <x:c r="I3" s="2"/>
      <x:c r="J3" s="2"/>
    </x:row>
    <x:row r="4" ht="24" customHeight="1">
      <x:c r="A4" s="2"/>
      <x:c r="B4" s="2"/>
      <x:c r="C4" s="2"/>
      <x:c r="D4" s="2"/>
      <x:c r="E4" s="2"/>
      <x:c r="F4" s="2"/>
      <x:c r="G4" s="2"/>
      <x:c r="H4" s="2"/>
      <x:c r="I4" s="2"/>
      <x:c r="J4" s="2"/>
    </x:row>
    <x:row r="5" ht="36" customHeight="1">
      <x:c r="A5" s="8" t="str">
        <x:v>Competitor</x:v>
      </x:c>
      <x:c r="B5" s="8" t="str">
        <x:v>Dimension</x:v>
      </x:c>
      <x:c r="C5" s="8" t="str">
        <x:v>Research task</x:v>
      </x:c>
      <x:c r="D5" s="8" t="str">
        <x:v>Starting URL</x:v>
      </x:c>
      <x:c r="E5" s="8" t="str">
        <x:v>Evidence to capture</x:v>
      </x:c>
      <x:c r="F5" s="8" t="str">
        <x:v>Evidence URL</x:v>
      </x:c>
      <x:c r="G5" s="8" t="str">
        <x:v>Observed date</x:v>
      </x:c>
      <x:c r="H5" s="8" t="str">
        <x:v>Observation</x:v>
      </x:c>
      <x:c r="I5" s="8" t="str">
        <x:v>Interpretation / action</x:v>
      </x:c>
      <x:c r="J5" s="8" t="str">
        <x:v>Status</x:v>
      </x:c>
    </x:row>
    <x:row r="6" ht="78" customHeight="1">
      <x:c r="A6" s="10" t="str">
        <x:v>Amazon India Books</x:v>
      </x:c>
      <x:c r="B6" s="10" t="str">
        <x:v>Navigation</x:v>
      </x:c>
      <x:c r="C6" s="10" t="str">
        <x:v>Search one identical title/ISBN on mobile; record clicks to reach its product page.</x:v>
      </x:c>
      <x:c r="D6" s="10" t="str">
        <x:v>https://www.amazon.in/gp/bestsellers/books</x:v>
      </x:c>
      <x:c r="E6" s="10" t="str">
        <x:v>Screenshot, title/ISBN, device and URL</x:v>
      </x:c>
      <x:c r="F6" s="12" t="str"/>
      <x:c r="G6" s="13"/>
      <x:c r="H6" s="12" t="str"/>
      <x:c r="I6" s="12" t="str"/>
      <x:c r="J6" s="12" t="str">
        <x:v>Not researched</x:v>
      </x:c>
    </x:row>
    <x:row r="7" ht="78" customHeight="1">
      <x:c r="A7" s="11" t="str">
        <x:v>Amazon India Books</x:v>
      </x:c>
      <x:c r="B7" s="11" t="str">
        <x:v>Product information</x:v>
      </x:c>
      <x:c r="C7" s="11" t="str">
        <x:v>Check whether author, format, language, ISBN and availability are shown.</x:v>
      </x:c>
      <x:c r="D7" s="11" t="str">
        <x:v>https://www.amazon.in/gp/bestsellers/books</x:v>
      </x:c>
      <x:c r="E7" s="11" t="str">
        <x:v>Exact visible fields and product URL</x:v>
      </x:c>
      <x:c r="F7" s="12" t="str"/>
      <x:c r="G7" s="13"/>
      <x:c r="H7" s="12" t="str"/>
      <x:c r="I7" s="12" t="str"/>
      <x:c r="J7" s="12" t="str">
        <x:v>Not researched</x:v>
      </x:c>
    </x:row>
    <x:row r="8" ht="78" customHeight="1">
      <x:c r="A8" s="10" t="str">
        <x:v>Amazon India Books</x:v>
      </x:c>
      <x:c r="B8" s="10" t="str">
        <x:v>Price and delivery</x:v>
      </x:c>
      <x:c r="C8" s="10" t="str">
        <x:v>Compare the same edition and postcode on the same day. Record price, shipping and conditions separately.</x:v>
      </x:c>
      <x:c r="D8" s="10" t="str">
        <x:v>https://www.amazon.in/gp/bestsellers/books</x:v>
      </x:c>
      <x:c r="E8" s="10" t="str">
        <x:v>Dated price and delivery screenshots; no estimated delivery claims</x:v>
      </x:c>
      <x:c r="F8" s="12" t="str"/>
      <x:c r="G8" s="13"/>
      <x:c r="H8" s="12" t="str"/>
      <x:c r="I8" s="12" t="str"/>
      <x:c r="J8" s="12" t="str">
        <x:v>Not researched</x:v>
      </x:c>
    </x:row>
    <x:row r="9" ht="78" customHeight="1">
      <x:c r="A9" s="11" t="str">
        <x:v>Amazon India Books</x:v>
      </x:c>
      <x:c r="B9" s="11" t="str">
        <x:v>SEO presentation</x:v>
      </x:c>
      <x:c r="C9" s="11" t="str">
        <x:v>Record page title, visible H1, description and internal links for one category and product page.</x:v>
      </x:c>
      <x:c r="D9" s="11" t="str">
        <x:v>https://www.amazon.in/gp/bestsellers/books</x:v>
      </x:c>
      <x:c r="E9" s="11" t="str">
        <x:v>Page URLs and copied visible text</x:v>
      </x:c>
      <x:c r="F9" s="12" t="str"/>
      <x:c r="G9" s="13"/>
      <x:c r="H9" s="12" t="str"/>
      <x:c r="I9" s="12" t="str"/>
      <x:c r="J9" s="12" t="str">
        <x:v>Not researched</x:v>
      </x:c>
    </x:row>
    <x:row r="10" ht="78" customHeight="1">
      <x:c r="A10" s="10" t="str">
        <x:v>Amazon India Books</x:v>
      </x:c>
      <x:c r="B10" s="10" t="str">
        <x:v>Editorial content</x:v>
      </x:c>
      <x:c r="C10" s="10" t="str">
        <x:v>Locate reading guides and note the reader question each answers.</x:v>
      </x:c>
      <x:c r="D10" s="10" t="str">
        <x:v>https://www.amazon.in/gp/bestsellers/books</x:v>
      </x:c>
      <x:c r="E10" s="10" t="str">
        <x:v>Article URL, publication date if shown</x:v>
      </x:c>
      <x:c r="F10" s="12" t="str"/>
      <x:c r="G10" s="13"/>
      <x:c r="H10" s="12" t="str"/>
      <x:c r="I10" s="12" t="str"/>
      <x:c r="J10" s="12" t="str">
        <x:v>Not researched</x:v>
      </x:c>
    </x:row>
    <x:row r="11" ht="78" customHeight="1">
      <x:c r="A11" s="11" t="str">
        <x:v>Amazon India Books</x:v>
      </x:c>
      <x:c r="B11" s="11" t="str">
        <x:v>Social content</x:v>
      </x:c>
      <x:c r="C11" s="11" t="str">
        <x:v>Find official social account via site. Classify its 10 most recent visible posts by format and CTA.</x:v>
      </x:c>
      <x:c r="D11" s="11" t="str">
        <x:v>https://www.amazon.in/gp/bestsellers/books</x:v>
      </x:c>
      <x:c r="E11" s="11" t="str">
        <x:v>Profile URL, observation date and post links</x:v>
      </x:c>
      <x:c r="F11" s="12" t="str"/>
      <x:c r="G11" s="13"/>
      <x:c r="H11" s="12" t="str"/>
      <x:c r="I11" s="12" t="str"/>
      <x:c r="J11" s="12" t="str">
        <x:v>Not researched</x:v>
      </x:c>
    </x:row>
    <x:row r="12" ht="78" customHeight="1">
      <x:c r="A12" s="10" t="str">
        <x:v>Amazon India Books</x:v>
      </x:c>
      <x:c r="B12" s="10" t="str">
        <x:v>Trust and policies</x:v>
      </x:c>
      <x:c r="C12" s="10" t="str">
        <x:v>Locate returns, contact and privacy pages. Record what is stated without testing service quality.</x:v>
      </x:c>
      <x:c r="D12" s="10" t="str">
        <x:v>https://www.amazon.in/gp/bestsellers/books</x:v>
      </x:c>
      <x:c r="E12" s="10" t="str">
        <x:v>Policy URLs and dated notes</x:v>
      </x:c>
      <x:c r="F12" s="12" t="str"/>
      <x:c r="G12" s="13"/>
      <x:c r="H12" s="12" t="str"/>
      <x:c r="I12" s="12" t="str"/>
      <x:c r="J12" s="12" t="str">
        <x:v>Not researched</x:v>
      </x:c>
    </x:row>
    <x:row r="13" ht="78" customHeight="1">
      <x:c r="A13" s="11" t="str">
        <x:v>Amazon India Books</x:v>
      </x:c>
      <x:c r="B13" s="11" t="str">
        <x:v>Opportunity</x:v>
      </x:c>
      <x:c r="C13" s="11" t="str">
        <x:v>Write one BookNest idea supported by the captured evidence.</x:v>
      </x:c>
      <x:c r="D13" s="11" t="str">
        <x:v>https://www.amazon.in/gp/bestsellers/books</x:v>
      </x:c>
      <x:c r="E13" s="11" t="str">
        <x:v>Evidence reference plus a clearly labeled interpretation</x:v>
      </x:c>
      <x:c r="F13" s="12" t="str"/>
      <x:c r="G13" s="13"/>
      <x:c r="H13" s="12" t="str"/>
      <x:c r="I13" s="12" t="str"/>
      <x:c r="J13" s="12" t="str">
        <x:v>Not researched</x:v>
      </x:c>
    </x:row>
    <x:row r="14" ht="78" customHeight="1">
      <x:c r="A14" s="10" t="str">
        <x:v>Crossword</x:v>
      </x:c>
      <x:c r="B14" s="10" t="str">
        <x:v>Navigation</x:v>
      </x:c>
      <x:c r="C14" s="10" t="str">
        <x:v>Search one identical title/ISBN on mobile; record clicks to reach its product page.</x:v>
      </x:c>
      <x:c r="D14" s="10" t="str">
        <x:v>https://www.crossword.in/</x:v>
      </x:c>
      <x:c r="E14" s="10" t="str">
        <x:v>Screenshot, title/ISBN, device and URL</x:v>
      </x:c>
      <x:c r="F14" s="12" t="str"/>
      <x:c r="G14" s="13"/>
      <x:c r="H14" s="12" t="str"/>
      <x:c r="I14" s="12" t="str"/>
      <x:c r="J14" s="12" t="str">
        <x:v>Not researched</x:v>
      </x:c>
    </x:row>
    <x:row r="15" ht="78" customHeight="1">
      <x:c r="A15" s="11" t="str">
        <x:v>Crossword</x:v>
      </x:c>
      <x:c r="B15" s="11" t="str">
        <x:v>Product information</x:v>
      </x:c>
      <x:c r="C15" s="11" t="str">
        <x:v>Check whether author, format, language, ISBN and availability are shown.</x:v>
      </x:c>
      <x:c r="D15" s="11" t="str">
        <x:v>https://www.crossword.in/</x:v>
      </x:c>
      <x:c r="E15" s="11" t="str">
        <x:v>Exact visible fields and product URL</x:v>
      </x:c>
      <x:c r="F15" s="12" t="str"/>
      <x:c r="G15" s="13"/>
      <x:c r="H15" s="12" t="str"/>
      <x:c r="I15" s="12" t="str"/>
      <x:c r="J15" s="12" t="str">
        <x:v>Not researched</x:v>
      </x:c>
    </x:row>
    <x:row r="16" ht="78" customHeight="1">
      <x:c r="A16" s="10" t="str">
        <x:v>Crossword</x:v>
      </x:c>
      <x:c r="B16" s="10" t="str">
        <x:v>Price and delivery</x:v>
      </x:c>
      <x:c r="C16" s="10" t="str">
        <x:v>Compare the same edition and postcode on the same day. Record price, shipping and conditions separately.</x:v>
      </x:c>
      <x:c r="D16" s="10" t="str">
        <x:v>https://www.crossword.in/</x:v>
      </x:c>
      <x:c r="E16" s="10" t="str">
        <x:v>Dated price and delivery screenshots; no estimated delivery claims</x:v>
      </x:c>
      <x:c r="F16" s="12" t="str"/>
      <x:c r="G16" s="13"/>
      <x:c r="H16" s="12" t="str"/>
      <x:c r="I16" s="12" t="str"/>
      <x:c r="J16" s="12" t="str">
        <x:v>Not researched</x:v>
      </x:c>
    </x:row>
    <x:row r="17" ht="78" customHeight="1">
      <x:c r="A17" s="11" t="str">
        <x:v>Crossword</x:v>
      </x:c>
      <x:c r="B17" s="11" t="str">
        <x:v>SEO presentation</x:v>
      </x:c>
      <x:c r="C17" s="11" t="str">
        <x:v>Record page title, visible H1, description and internal links for one category and product page.</x:v>
      </x:c>
      <x:c r="D17" s="11" t="str">
        <x:v>https://www.crossword.in/</x:v>
      </x:c>
      <x:c r="E17" s="11" t="str">
        <x:v>Page URLs and copied visible text</x:v>
      </x:c>
      <x:c r="F17" s="12" t="str"/>
      <x:c r="G17" s="13"/>
      <x:c r="H17" s="12" t="str"/>
      <x:c r="I17" s="12" t="str"/>
      <x:c r="J17" s="12" t="str">
        <x:v>Not researched</x:v>
      </x:c>
    </x:row>
    <x:row r="18" ht="78" customHeight="1">
      <x:c r="A18" s="10" t="str">
        <x:v>Crossword</x:v>
      </x:c>
      <x:c r="B18" s="10" t="str">
        <x:v>Editorial content</x:v>
      </x:c>
      <x:c r="C18" s="10" t="str">
        <x:v>Locate reading guides and note the reader question each answers.</x:v>
      </x:c>
      <x:c r="D18" s="10" t="str">
        <x:v>https://www.crossword.in/</x:v>
      </x:c>
      <x:c r="E18" s="10" t="str">
        <x:v>Article URL, publication date if shown</x:v>
      </x:c>
      <x:c r="F18" s="12" t="str"/>
      <x:c r="G18" s="13"/>
      <x:c r="H18" s="12" t="str"/>
      <x:c r="I18" s="12" t="str"/>
      <x:c r="J18" s="12" t="str">
        <x:v>Not researched</x:v>
      </x:c>
    </x:row>
    <x:row r="19" ht="78" customHeight="1">
      <x:c r="A19" s="11" t="str">
        <x:v>Crossword</x:v>
      </x:c>
      <x:c r="B19" s="11" t="str">
        <x:v>Social content</x:v>
      </x:c>
      <x:c r="C19" s="11" t="str">
        <x:v>Find official social account via site. Classify its 10 most recent visible posts by format and CTA.</x:v>
      </x:c>
      <x:c r="D19" s="11" t="str">
        <x:v>https://www.crossword.in/</x:v>
      </x:c>
      <x:c r="E19" s="11" t="str">
        <x:v>Profile URL, observation date and post links</x:v>
      </x:c>
      <x:c r="F19" s="12" t="str"/>
      <x:c r="G19" s="13"/>
      <x:c r="H19" s="12" t="str"/>
      <x:c r="I19" s="12" t="str"/>
      <x:c r="J19" s="12" t="str">
        <x:v>Not researched</x:v>
      </x:c>
    </x:row>
    <x:row r="20" ht="78" customHeight="1">
      <x:c r="A20" s="10" t="str">
        <x:v>Crossword</x:v>
      </x:c>
      <x:c r="B20" s="10" t="str">
        <x:v>Trust and policies</x:v>
      </x:c>
      <x:c r="C20" s="10" t="str">
        <x:v>Locate returns, contact and privacy pages. Record what is stated without testing service quality.</x:v>
      </x:c>
      <x:c r="D20" s="10" t="str">
        <x:v>https://www.crossword.in/</x:v>
      </x:c>
      <x:c r="E20" s="10" t="str">
        <x:v>Policy URLs and dated notes</x:v>
      </x:c>
      <x:c r="F20" s="12" t="str"/>
      <x:c r="G20" s="13"/>
      <x:c r="H20" s="12" t="str"/>
      <x:c r="I20" s="12" t="str"/>
      <x:c r="J20" s="12" t="str">
        <x:v>Not researched</x:v>
      </x:c>
    </x:row>
    <x:row r="21" ht="78" customHeight="1">
      <x:c r="A21" s="11" t="str">
        <x:v>Crossword</x:v>
      </x:c>
      <x:c r="B21" s="11" t="str">
        <x:v>Opportunity</x:v>
      </x:c>
      <x:c r="C21" s="11" t="str">
        <x:v>Write one BookNest idea supported by the captured evidence.</x:v>
      </x:c>
      <x:c r="D21" s="11" t="str">
        <x:v>https://www.crossword.in/</x:v>
      </x:c>
      <x:c r="E21" s="11" t="str">
        <x:v>Evidence reference plus a clearly labeled interpretation</x:v>
      </x:c>
      <x:c r="F21" s="12" t="str"/>
      <x:c r="G21" s="13"/>
      <x:c r="H21" s="12" t="str"/>
      <x:c r="I21" s="12" t="str"/>
      <x:c r="J21" s="12" t="str">
        <x:v>Not researched</x:v>
      </x:c>
    </x:row>
    <x:row r="22" ht="78" customHeight="1">
      <x:c r="A22" s="10" t="str">
        <x:v>SapnaOnline</x:v>
      </x:c>
      <x:c r="B22" s="10" t="str">
        <x:v>Navigation</x:v>
      </x:c>
      <x:c r="C22" s="10" t="str">
        <x:v>Search one identical title/ISBN on mobile; record clicks to reach its product page.</x:v>
      </x:c>
      <x:c r="D22" s="10" t="str">
        <x:v>https://www.sapnaonline.com/</x:v>
      </x:c>
      <x:c r="E22" s="10" t="str">
        <x:v>Screenshot, title/ISBN, device and URL</x:v>
      </x:c>
      <x:c r="F22" s="12" t="str"/>
      <x:c r="G22" s="13"/>
      <x:c r="H22" s="12" t="str"/>
      <x:c r="I22" s="12" t="str"/>
      <x:c r="J22" s="12" t="str">
        <x:v>Not researched</x:v>
      </x:c>
    </x:row>
    <x:row r="23" ht="78" customHeight="1">
      <x:c r="A23" s="11" t="str">
        <x:v>SapnaOnline</x:v>
      </x:c>
      <x:c r="B23" s="11" t="str">
        <x:v>Product information</x:v>
      </x:c>
      <x:c r="C23" s="11" t="str">
        <x:v>Check whether author, format, language, ISBN and availability are shown.</x:v>
      </x:c>
      <x:c r="D23" s="11" t="str">
        <x:v>https://www.sapnaonline.com/</x:v>
      </x:c>
      <x:c r="E23" s="11" t="str">
        <x:v>Exact visible fields and product URL</x:v>
      </x:c>
      <x:c r="F23" s="12" t="str"/>
      <x:c r="G23" s="13"/>
      <x:c r="H23" s="12" t="str"/>
      <x:c r="I23" s="12" t="str"/>
      <x:c r="J23" s="12" t="str">
        <x:v>Not researched</x:v>
      </x:c>
    </x:row>
    <x:row r="24" ht="78" customHeight="1">
      <x:c r="A24" s="10" t="str">
        <x:v>SapnaOnline</x:v>
      </x:c>
      <x:c r="B24" s="10" t="str">
        <x:v>Price and delivery</x:v>
      </x:c>
      <x:c r="C24" s="10" t="str">
        <x:v>Compare the same edition and postcode on the same day. Record price, shipping and conditions separately.</x:v>
      </x:c>
      <x:c r="D24" s="10" t="str">
        <x:v>https://www.sapnaonline.com/</x:v>
      </x:c>
      <x:c r="E24" s="10" t="str">
        <x:v>Dated price and delivery screenshots; no estimated delivery claims</x:v>
      </x:c>
      <x:c r="F24" s="12" t="str"/>
      <x:c r="G24" s="13"/>
      <x:c r="H24" s="12" t="str"/>
      <x:c r="I24" s="12" t="str"/>
      <x:c r="J24" s="12" t="str">
        <x:v>Not researched</x:v>
      </x:c>
    </x:row>
    <x:row r="25" ht="78" customHeight="1">
      <x:c r="A25" s="11" t="str">
        <x:v>SapnaOnline</x:v>
      </x:c>
      <x:c r="B25" s="11" t="str">
        <x:v>SEO presentation</x:v>
      </x:c>
      <x:c r="C25" s="11" t="str">
        <x:v>Record page title, visible H1, description and internal links for one category and product page.</x:v>
      </x:c>
      <x:c r="D25" s="11" t="str">
        <x:v>https://www.sapnaonline.com/</x:v>
      </x:c>
      <x:c r="E25" s="11" t="str">
        <x:v>Page URLs and copied visible text</x:v>
      </x:c>
      <x:c r="F25" s="12" t="str"/>
      <x:c r="G25" s="13"/>
      <x:c r="H25" s="12" t="str"/>
      <x:c r="I25" s="12" t="str"/>
      <x:c r="J25" s="12" t="str">
        <x:v>Not researched</x:v>
      </x:c>
    </x:row>
    <x:row r="26" ht="78" customHeight="1">
      <x:c r="A26" s="10" t="str">
        <x:v>SapnaOnline</x:v>
      </x:c>
      <x:c r="B26" s="10" t="str">
        <x:v>Editorial content</x:v>
      </x:c>
      <x:c r="C26" s="10" t="str">
        <x:v>Locate reading guides and note the reader question each answers.</x:v>
      </x:c>
      <x:c r="D26" s="10" t="str">
        <x:v>https://www.sapnaonline.com/</x:v>
      </x:c>
      <x:c r="E26" s="10" t="str">
        <x:v>Article URL, publication date if shown</x:v>
      </x:c>
      <x:c r="F26" s="12" t="str"/>
      <x:c r="G26" s="13"/>
      <x:c r="H26" s="12" t="str"/>
      <x:c r="I26" s="12" t="str"/>
      <x:c r="J26" s="12" t="str">
        <x:v>Not researched</x:v>
      </x:c>
    </x:row>
    <x:row r="27" ht="78" customHeight="1">
      <x:c r="A27" s="11" t="str">
        <x:v>SapnaOnline</x:v>
      </x:c>
      <x:c r="B27" s="11" t="str">
        <x:v>Social content</x:v>
      </x:c>
      <x:c r="C27" s="11" t="str">
        <x:v>Find official social account via site. Classify its 10 most recent visible posts by format and CTA.</x:v>
      </x:c>
      <x:c r="D27" s="11" t="str">
        <x:v>https://www.sapnaonline.com/</x:v>
      </x:c>
      <x:c r="E27" s="11" t="str">
        <x:v>Profile URL, observation date and post links</x:v>
      </x:c>
      <x:c r="F27" s="12" t="str"/>
      <x:c r="G27" s="13"/>
      <x:c r="H27" s="12" t="str"/>
      <x:c r="I27" s="12" t="str"/>
      <x:c r="J27" s="12" t="str">
        <x:v>Not researched</x:v>
      </x:c>
    </x:row>
    <x:row r="28" ht="78" customHeight="1">
      <x:c r="A28" s="10" t="str">
        <x:v>SapnaOnline</x:v>
      </x:c>
      <x:c r="B28" s="10" t="str">
        <x:v>Trust and policies</x:v>
      </x:c>
      <x:c r="C28" s="10" t="str">
        <x:v>Locate returns, contact and privacy pages. Record what is stated without testing service quality.</x:v>
      </x:c>
      <x:c r="D28" s="10" t="str">
        <x:v>https://www.sapnaonline.com/</x:v>
      </x:c>
      <x:c r="E28" s="10" t="str">
        <x:v>Policy URLs and dated notes</x:v>
      </x:c>
      <x:c r="F28" s="12" t="str"/>
      <x:c r="G28" s="13"/>
      <x:c r="H28" s="12" t="str"/>
      <x:c r="I28" s="12" t="str"/>
      <x:c r="J28" s="12" t="str">
        <x:v>Not researched</x:v>
      </x:c>
    </x:row>
    <x:row r="29" ht="78" customHeight="1">
      <x:c r="A29" s="11" t="str">
        <x:v>SapnaOnline</x:v>
      </x:c>
      <x:c r="B29" s="11" t="str">
        <x:v>Opportunity</x:v>
      </x:c>
      <x:c r="C29" s="11" t="str">
        <x:v>Write one BookNest idea supported by the captured evidence.</x:v>
      </x:c>
      <x:c r="D29" s="11" t="str">
        <x:v>https://www.sapnaonline.com/</x:v>
      </x:c>
      <x:c r="E29" s="11" t="str">
        <x:v>Evidence reference plus a clearly labeled interpretation</x:v>
      </x:c>
      <x:c r="F29" s="12" t="str"/>
      <x:c r="G29" s="13"/>
      <x:c r="H29" s="12" t="str"/>
      <x:c r="I29" s="12" t="str"/>
      <x:c r="J29" s="12" t="str">
        <x:v>Not researched</x:v>
      </x:c>
    </x:row>
    <x:row r="32">
      <x:c r="A32" s="23" t="str">
        <x:v>Documented public-page observations - 17 October 2026</x:v>
      </x:c>
    </x:row>
    <x:row r="34" ht="36" customHeight="1">
      <x:c r="A34" s="26" t="str">
        <x:v>Evidence ID</x:v>
      </x:c>
      <x:c r="B34" s="26" t="str">
        <x:v>Competitor</x:v>
      </x:c>
      <x:c r="C34" s="26" t="str">
        <x:v>Dimension</x:v>
      </x:c>
      <x:c r="D34" s="26" t="str">
        <x:v>Source URL</x:v>
      </x:c>
      <x:c r="E34" s="26" t="str">
        <x:v>Source locator</x:v>
      </x:c>
      <x:c r="F34" s="26" t="str">
        <x:v>Review date</x:v>
      </x:c>
      <x:c r="G34" s="26" t="str">
        <x:v>Method</x:v>
      </x:c>
      <x:c r="H34" s="26" t="str">
        <x:v>Observation</x:v>
      </x:c>
      <x:c r="I34" s="26" t="str">
        <x:v>Interpretation / action</x:v>
      </x:c>
      <x:c r="J34" s="26" t="str">
        <x:v>Limit</x:v>
      </x:c>
    </x:row>
    <x:row r="35" ht="110" customHeight="1">
      <x:c r="A35" s="28" t="str">
        <x:v>CW1</x:v>
      </x:c>
      <x:c r="B35" s="28" t="str">
        <x:v>Crossword</x:v>
      </x:c>
      <x:c r="C35" s="28" t="str">
        <x:v>Search and navigation</x:v>
      </x:c>
      <x:c r="D35" s="28" t="str">
        <x:v>https://www.crossword.in/</x:v>
      </x:c>
      <x:c r="E35" s="28" t="str">
        <x:v>Homepage search field and Fiction menu</x:v>
      </x:c>
      <x:c r="F35" s="29" t="d">
        <x:v>2026-10-17T00:00:00.000Z</x:v>
      </x:c>
      <x:c r="G35" s="28" t="str">
        <x:v>Public-page text retrieval</x:v>
      </x:c>
      <x:c r="H35" s="28" t="str">
        <x:v>Homepage text exposes a title/author/ISBN search field and fiction subgenres.</x:v>
      </x:c>
      <x:c r="I35" s="28" t="str">
        <x:v>Test a mood-first checklist alongside genre discovery.</x:v>
      </x:c>
      <x:c r="J35" s="28" t="str">
        <x:v>Observation only; search operation and usability not tested.</x:v>
      </x:c>
    </x:row>
    <x:row r="36" ht="110" customHeight="1">
      <x:c r="A36" s="28" t="str">
        <x:v>CW2</x:v>
      </x:c>
      <x:c r="B36" s="28" t="str">
        <x:v>Crossword</x:v>
      </x:c>
      <x:c r="C36" s="28" t="str">
        <x:v>Merchandising</x:v>
      </x:c>
      <x:c r="D36" s="28" t="str">
        <x:v>https://www.crossword.in/</x:v>
      </x:c>
      <x:c r="E36" s="28" t="str">
        <x:v>Best Sellers and Coming Soon headings</x:v>
      </x:c>
      <x:c r="F36" s="29" t="d">
        <x:v>2026-10-17T00:00:00.000Z</x:v>
      </x:c>
      <x:c r="G36" s="28" t="str">
        <x:v>Public-page text retrieval</x:v>
      </x:c>
      <x:c r="H36" s="28" t="str">
        <x:v>Homepage text contains bestseller and coming-soon sections.</x:v>
      </x:c>
      <x:c r="I36" s="28" t="str">
        <x:v>Use separate discovery and upcoming-read content pillars.</x:v>
      </x:c>
      <x:c r="J36" s="28" t="str">
        <x:v>Visible labels only; sales and popularity not independently verified.</x:v>
      </x:c>
    </x:row>
    <x:row r="37" ht="110" customHeight="1">
      <x:c r="A37" s="28" t="str">
        <x:v>SP1</x:v>
      </x:c>
      <x:c r="B37" s="28" t="str">
        <x:v>SapnaOnline</x:v>
      </x:c>
      <x:c r="C37" s="28" t="str">
        <x:v>Search and navigation</x:v>
      </x:c>
      <x:c r="D37" s="28" t="str">
        <x:v>https://www.sapnaonline.com/</x:v>
      </x:c>
      <x:c r="E37" s="28" t="str">
        <x:v>Search field and Kannada navigation</x:v>
      </x:c>
      <x:c r="F37" s="29" t="d">
        <x:v>2026-10-17T00:00:00.000Z</x:v>
      </x:c>
      <x:c r="G37" s="28" t="str">
        <x:v>Public-page text retrieval</x:v>
      </x:c>
      <x:c r="H37" s="28" t="str">
        <x:v>Homepage text exposes title/author/ISBN search and Kannada navigation.</x:v>
      </x:c>
      <x:c r="I37" s="28" t="str">
        <x:v>Ask readers their preferred language before narrowing the content scope.</x:v>
      </x:c>
      <x:c r="J37" s="28" t="str">
        <x:v>Search operation and audience demand not tested.</x:v>
      </x:c>
    </x:row>
    <x:row r="38" ht="110" customHeight="1">
      <x:c r="A38" s="28" t="str">
        <x:v>SP2</x:v>
      </x:c>
      <x:c r="B38" s="28" t="str">
        <x:v>SapnaOnline</x:v>
      </x:c>
      <x:c r="C38" s="28" t="str">
        <x:v>Merchandising</x:v>
      </x:c>
      <x:c r="D38" s="28" t="str">
        <x:v>https://www.sapnaonline.com/</x:v>
      </x:c>
      <x:c r="E38" s="28" t="str">
        <x:v>Top 20 Fiction, Top 20 Non Fiction, New Arrivals headings</x:v>
      </x:c>
      <x:c r="F38" s="29" t="d">
        <x:v>2026-10-17T00:00:00.000Z</x:v>
      </x:c>
      <x:c r="G38" s="28" t="str">
        <x:v>Public-page text retrieval</x:v>
      </x:c>
      <x:c r="H38" s="28" t="str">
        <x:v>Homepage text groups books into fiction, nonfiction and new-arrival sections.</x:v>
      </x:c>
      <x:c r="I38" s="28" t="str">
        <x:v>Keep evergreen selection guides separate from time-sensitive discovery posts.</x:v>
      </x:c>
      <x:c r="J38" s="28" t="str">
        <x:v>Section labels only; ranking methodology not assessed.</x:v>
      </x:c>
    </x:row>
    <x:row r="39" ht="110" customHeight="1">
      <x:c r="A39" s="28" t="str">
        <x:v>AM0</x:v>
      </x:c>
      <x:c r="B39" s="28" t="str">
        <x:v>Amazon India Books</x:v>
      </x:c>
      <x:c r="C39" s="28" t="str">
        <x:v>Access limitation</x:v>
      </x:c>
      <x:c r="D39" s="28" t="str">
        <x:v>https://www.amazon.in/gp/bestsellers/books</x:v>
      </x:c>
      <x:c r="E39" s="28" t="str">
        <x:v>Retrieval attempt on 17 October 2026</x:v>
      </x:c>
      <x:c r="F39" s="29" t="d">
        <x:v>2026-10-17T00:00:00.000Z</x:v>
      </x:c>
      <x:c r="G39" s="28" t="str">
        <x:v>Public-page text retrieval</x:v>
      </x:c>
      <x:c r="H39" s="28" t="str">
        <x:v>Books bestseller page returned a retrieval error during this review.</x:v>
      </x:c>
      <x:c r="I39" s="28" t="str">
        <x:v>Keep Amazon comparison unassessed and revisit manually.</x:v>
      </x:c>
      <x:c r="J39" s="28" t="str">
        <x:v>No conclusion about website availability or features.</x:v>
      </x:c>
    </x:row>
  </x:sheetData>
  <x:dataValidations count="1">
    <x:dataValidation type="list" sqref="J6:J29">
      <x:formula1>"Not researched,In progress,Evidence captured"</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7" hidden="0" customWidth="1"/>
    <x:col min="2" max="2" width="39" hidden="0" customWidth="1"/>
    <x:col min="3" max="3" width="22" hidden="0" customWidth="1"/>
    <x:col min="4" max="4" width="32" hidden="0" customWidth="1"/>
    <x:col min="5" max="5" width="65" hidden="0" customWidth="1"/>
    <x:col min="6" max="6" width="18" hidden="0" customWidth="1"/>
    <x:col min="7" max="7" width="20" hidden="0" customWidth="1"/>
    <x:col min="8" max="8" width="20" hidden="0" customWidth="1"/>
  </x:cols>
  <x:sheetData>
    <x:row r="1" ht="24" customHeight="1">
      <x:c r="A1" s="2"/>
      <x:c r="B1" s="2"/>
      <x:c r="C1" s="2"/>
      <x:c r="D1" s="2"/>
      <x:c r="E1" s="2"/>
      <x:c r="F1" s="2"/>
      <x:c r="G1" s="2"/>
      <x:c r="H1" s="2"/>
    </x:row>
    <x:row r="2" ht="24" customHeight="1">
      <x:c r="A2" s="3" t="str">
        <x:v>20 SEO keyword ideas</x:v>
      </x:c>
      <x:c r="B2" s="2"/>
      <x:c r="C2" s="2"/>
      <x:c r="D2" s="2"/>
      <x:c r="E2" s="2"/>
      <x:c r="F2" s="2"/>
      <x:c r="G2" s="2"/>
      <x:c r="H2" s="2"/>
    </x:row>
    <x:row r="3" ht="24" customHeight="1">
      <x:c r="A3" s="4" t="str">
        <x:v>Volume is not measured. Intent and page mapping are authored hypotheses; validate before publishing.</x:v>
      </x:c>
      <x:c r="B3" s="2"/>
      <x:c r="C3" s="2"/>
      <x:c r="D3" s="2"/>
      <x:c r="E3" s="2"/>
      <x:c r="F3" s="2"/>
      <x:c r="G3" s="2"/>
      <x:c r="H3" s="2"/>
    </x:row>
    <x:row r="4" ht="24" customHeight="1">
      <x:c r="A4" s="2"/>
      <x:c r="B4" s="2"/>
      <x:c r="C4" s="2"/>
      <x:c r="D4" s="2"/>
      <x:c r="E4" s="2"/>
      <x:c r="F4" s="2"/>
      <x:c r="G4" s="2"/>
      <x:c r="H4" s="2"/>
    </x:row>
    <x:row r="5" ht="36" customHeight="1">
      <x:c r="A5" s="8" t="str">
        <x:v>ID</x:v>
      </x:c>
      <x:c r="B5" s="8" t="str">
        <x:v>Keyword idea</x:v>
      </x:c>
      <x:c r="C5" s="8" t="str">
        <x:v>Intent hypothesis</x:v>
      </x:c>
      <x:c r="D5" s="8" t="str">
        <x:v>Proposed page</x:v>
      </x:c>
      <x:c r="E5" s="8" t="str">
        <x:v>Title idea</x:v>
      </x:c>
      <x:c r="F5" s="8" t="str">
        <x:v>Status</x:v>
      </x:c>
      <x:c r="G5" s="8" t="str">
        <x:v>Search volume</x:v>
      </x:c>
      <x:c r="H5" s="8" t="str">
        <x:v>Difficulty</x:v>
      </x:c>
    </x:row>
    <x:row r="6" ht="60" customHeight="1">
      <x:c r="A6" s="10" t="n">
        <x:v>1</x:v>
      </x:c>
      <x:c r="B6" s="10" t="str">
        <x:v>buy books online India</x:v>
      </x:c>
      <x:c r="C6" s="10" t="str">
        <x:v>Transactional</x:v>
      </x:c>
      <x:c r="D6" s="10" t="str">
        <x:v>Homepage</x:v>
      </x:c>
      <x:c r="E6" s="10" t="str">
        <x:v>BookNest | Explore Books and Reading Ideas</x:v>
      </x:c>
      <x:c r="F6" s="10" t="str">
        <x:v>Idea only</x:v>
      </x:c>
      <x:c r="G6" s="10" t="str">
        <x:v>Not measured</x:v>
      </x:c>
      <x:c r="H6" s="10" t="str">
        <x:v>Not assessed</x:v>
      </x:c>
    </x:row>
    <x:row r="7" ht="60" customHeight="1">
      <x:c r="A7" s="11" t="n">
        <x:v>2</x:v>
      </x:c>
      <x:c r="B7" s="11" t="str">
        <x:v>online bookstore India</x:v>
      </x:c>
      <x:c r="C7" s="11" t="str">
        <x:v>Commercial</x:v>
      </x:c>
      <x:c r="D7" s="11" t="str">
        <x:v>About/demo store</x:v>
      </x:c>
      <x:c r="E7" s="11" t="str">
        <x:v>Meet BookNest: A Reading Community</x:v>
      </x:c>
      <x:c r="F7" s="11" t="str">
        <x:v>Idea only</x:v>
      </x:c>
      <x:c r="G7" s="11" t="str">
        <x:v>Not measured</x:v>
      </x:c>
      <x:c r="H7" s="11" t="str">
        <x:v>Not assessed</x:v>
      </x:c>
    </x:row>
    <x:row r="8" ht="60" customHeight="1">
      <x:c r="A8" s="10" t="n">
        <x:v>3</x:v>
      </x:c>
      <x:c r="B8" s="10" t="str">
        <x:v>fiction books online India</x:v>
      </x:c>
      <x:c r="C8" s="10" t="str">
        <x:v>Transactional</x:v>
      </x:c>
      <x:c r="D8" s="10" t="str">
        <x:v>Fiction category</x:v>
      </x:c>
      <x:c r="E8" s="10" t="str">
        <x:v>Fiction Reading Ideas | BookNest</x:v>
      </x:c>
      <x:c r="F8" s="10" t="str">
        <x:v>Idea only</x:v>
      </x:c>
      <x:c r="G8" s="10" t="str">
        <x:v>Not measured</x:v>
      </x:c>
      <x:c r="H8" s="10" t="str">
        <x:v>Not assessed</x:v>
      </x:c>
    </x:row>
    <x:row r="9" ht="60" customHeight="1">
      <x:c r="A9" s="11" t="n">
        <x:v>4</x:v>
      </x:c>
      <x:c r="B9" s="11" t="str">
        <x:v>Indian fiction books</x:v>
      </x:c>
      <x:c r="C9" s="11" t="str">
        <x:v>Informational</x:v>
      </x:c>
      <x:c r="D9" s="11" t="str">
        <x:v>Indian fiction guide</x:v>
      </x:c>
      <x:c r="E9" s="11" t="str">
        <x:v>Discover Indian Fiction: A Starter Guide</x:v>
      </x:c>
      <x:c r="F9" s="11" t="str">
        <x:v>Idea only</x:v>
      </x:c>
      <x:c r="G9" s="11" t="str">
        <x:v>Not measured</x:v>
      </x:c>
      <x:c r="H9" s="11" t="str">
        <x:v>Not assessed</x:v>
      </x:c>
    </x:row>
    <x:row r="10" ht="60" customHeight="1">
      <x:c r="A10" s="10" t="n">
        <x:v>5</x:v>
      </x:c>
      <x:c r="B10" s="10" t="str">
        <x:v>novels for beginners</x:v>
      </x:c>
      <x:c r="C10" s="10" t="str">
        <x:v>Informational</x:v>
      </x:c>
      <x:c r="D10" s="10" t="str">
        <x:v>Beginner guide</x:v>
      </x:c>
      <x:c r="E10" s="10" t="str">
        <x:v>How to Choose Novels for Beginners</x:v>
      </x:c>
      <x:c r="F10" s="10" t="str">
        <x:v>Idea only</x:v>
      </x:c>
      <x:c r="G10" s="10" t="str">
        <x:v>Not measured</x:v>
      </x:c>
      <x:c r="H10" s="10" t="str">
        <x:v>Not assessed</x:v>
      </x:c>
    </x:row>
    <x:row r="11" ht="60" customHeight="1">
      <x:c r="A11" s="11" t="n">
        <x:v>6</x:v>
      </x:c>
      <x:c r="B11" s="11" t="str">
        <x:v>books for beginner readers</x:v>
      </x:c>
      <x:c r="C11" s="11" t="str">
        <x:v>Informational</x:v>
      </x:c>
      <x:c r="D11" s="11" t="str">
        <x:v>Beginner guide</x:v>
      </x:c>
      <x:c r="E11" s="11" t="str">
        <x:v>Start Reading: Books for Beginner Readers</x:v>
      </x:c>
      <x:c r="F11" s="11" t="str">
        <x:v>Idea only</x:v>
      </x:c>
      <x:c r="G11" s="11" t="str">
        <x:v>Not measured</x:v>
      </x:c>
      <x:c r="H11" s="11" t="str">
        <x:v>Not assessed</x:v>
      </x:c>
    </x:row>
    <x:row r="12" ht="60" customHeight="1">
      <x:c r="A12" s="10" t="n">
        <x:v>7</x:v>
      </x:c>
      <x:c r="B12" s="10" t="str">
        <x:v>how to choose a book to read</x:v>
      </x:c>
      <x:c r="C12" s="10" t="str">
        <x:v>Informational</x:v>
      </x:c>
      <x:c r="D12" s="10" t="str">
        <x:v>Blog</x:v>
      </x:c>
      <x:c r="E12" s="10" t="str">
        <x:v>How to Choose a Book to Read: A Simple Guide</x:v>
      </x:c>
      <x:c r="F12" s="10" t="str">
        <x:v>Idea only</x:v>
      </x:c>
      <x:c r="G12" s="10" t="str">
        <x:v>Not measured</x:v>
      </x:c>
      <x:c r="H12" s="10" t="str">
        <x:v>Not assessed</x:v>
      </x:c>
    </x:row>
    <x:row r="13" ht="60" customHeight="1">
      <x:c r="A13" s="11" t="n">
        <x:v>8</x:v>
      </x:c>
      <x:c r="B13" s="11" t="str">
        <x:v>how to build a reading habit</x:v>
      </x:c>
      <x:c r="C13" s="11" t="str">
        <x:v>Informational</x:v>
      </x:c>
      <x:c r="D13" s="11" t="str">
        <x:v>Habit guide</x:v>
      </x:c>
      <x:c r="E13" s="11" t="str">
        <x:v>Build a Reading Habit in Small Steps</x:v>
      </x:c>
      <x:c r="F13" s="11" t="str">
        <x:v>Idea only</x:v>
      </x:c>
      <x:c r="G13" s="11" t="str">
        <x:v>Not measured</x:v>
      </x:c>
      <x:c r="H13" s="11" t="str">
        <x:v>Not assessed</x:v>
      </x:c>
    </x:row>
    <x:row r="14" ht="60" customHeight="1">
      <x:c r="A14" s="10" t="n">
        <x:v>9</x:v>
      </x:c>
      <x:c r="B14" s="10" t="str">
        <x:v>short novels to read</x:v>
      </x:c>
      <x:c r="C14" s="10" t="str">
        <x:v>Informational</x:v>
      </x:c>
      <x:c r="D14" s="10" t="str">
        <x:v>Short reads guide</x:v>
      </x:c>
      <x:c r="E14" s="10" t="str">
        <x:v>Choosing Short Novels for Busy Weeks</x:v>
      </x:c>
      <x:c r="F14" s="10" t="str">
        <x:v>Idea only</x:v>
      </x:c>
      <x:c r="G14" s="10" t="str">
        <x:v>Not measured</x:v>
      </x:c>
      <x:c r="H14" s="10" t="str">
        <x:v>Not assessed</x:v>
      </x:c>
    </x:row>
    <x:row r="15" ht="60" customHeight="1">
      <x:c r="A15" s="11" t="n">
        <x:v>10</x:v>
      </x:c>
      <x:c r="B15" s="11" t="str">
        <x:v>fiction vs nonfiction books</x:v>
      </x:c>
      <x:c r="C15" s="11" t="str">
        <x:v>Informational</x:v>
      </x:c>
      <x:c r="D15" s="11" t="str">
        <x:v>Comparison article</x:v>
      </x:c>
      <x:c r="E15" s="11" t="str">
        <x:v>Fiction vs Nonfiction: Choose Your Next Read</x:v>
      </x:c>
      <x:c r="F15" s="11" t="str">
        <x:v>Idea only</x:v>
      </x:c>
      <x:c r="G15" s="11" t="str">
        <x:v>Not measured</x:v>
      </x:c>
      <x:c r="H15" s="11" t="str">
        <x:v>Not assessed</x:v>
      </x:c>
    </x:row>
    <x:row r="16" ht="60" customHeight="1">
      <x:c r="A16" s="10" t="n">
        <x:v>11</x:v>
      </x:c>
      <x:c r="B16" s="10" t="str">
        <x:v>books for college students</x:v>
      </x:c>
      <x:c r="C16" s="10" t="str">
        <x:v>Informational</x:v>
      </x:c>
      <x:c r="D16" s="10" t="str">
        <x:v>Student guide</x:v>
      </x:c>
      <x:c r="E16" s="10" t="str">
        <x:v>A Student Guide to Choosing Books</x:v>
      </x:c>
      <x:c r="F16" s="10" t="str">
        <x:v>Idea only</x:v>
      </x:c>
      <x:c r="G16" s="10" t="str">
        <x:v>Not measured</x:v>
      </x:c>
      <x:c r="H16" s="10" t="str">
        <x:v>Not assessed</x:v>
      </x:c>
    </x:row>
    <x:row r="17" ht="60" customHeight="1">
      <x:c r="A17" s="11" t="n">
        <x:v>12</x:v>
      </x:c>
      <x:c r="B17" s="11" t="str">
        <x:v>self help books for students</x:v>
      </x:c>
      <x:c r="C17" s="11" t="str">
        <x:v>Commercial</x:v>
      </x:c>
      <x:c r="D17" s="11" t="str">
        <x:v>Self-help guide</x:v>
      </x:c>
      <x:c r="E17" s="11" t="str">
        <x:v>Choosing Self-Help Books as a Student</x:v>
      </x:c>
      <x:c r="F17" s="11" t="str">
        <x:v>Idea only</x:v>
      </x:c>
      <x:c r="G17" s="11" t="str">
        <x:v>Not measured</x:v>
      </x:c>
      <x:c r="H17" s="11" t="str">
        <x:v>Not assessed</x:v>
      </x:c>
    </x:row>
    <x:row r="18" ht="60" customHeight="1">
      <x:c r="A18" s="10" t="n">
        <x:v>13</x:v>
      </x:c>
      <x:c r="B18" s="10" t="str">
        <x:v>personal growth books</x:v>
      </x:c>
      <x:c r="C18" s="10" t="str">
        <x:v>Commercial</x:v>
      </x:c>
      <x:c r="D18" s="10" t="str">
        <x:v>Personal growth category</x:v>
      </x:c>
      <x:c r="E18" s="10" t="str">
        <x:v>Personal Growth Reading Ideas</x:v>
      </x:c>
      <x:c r="F18" s="10" t="str">
        <x:v>Idea only</x:v>
      </x:c>
      <x:c r="G18" s="10" t="str">
        <x:v>Not measured</x:v>
      </x:c>
      <x:c r="H18" s="10" t="str">
        <x:v>Not assessed</x:v>
      </x:c>
    </x:row>
    <x:row r="19" ht="60" customHeight="1">
      <x:c r="A19" s="11" t="n">
        <x:v>14</x:v>
      </x:c>
      <x:c r="B19" s="11" t="str">
        <x:v>book recommendations India</x:v>
      </x:c>
      <x:c r="C19" s="11" t="str">
        <x:v>Informational</x:v>
      </x:c>
      <x:c r="D19" s="11" t="str">
        <x:v>Recommendations guide</x:v>
      </x:c>
      <x:c r="E19" s="11" t="str">
        <x:v>Find Your Next Read in India</x:v>
      </x:c>
      <x:c r="F19" s="11" t="str">
        <x:v>Idea only</x:v>
      </x:c>
      <x:c r="G19" s="11" t="str">
        <x:v>Not measured</x:v>
      </x:c>
      <x:c r="H19" s="11" t="str">
        <x:v>Not assessed</x:v>
      </x:c>
    </x:row>
    <x:row r="20" ht="60" customHeight="1">
      <x:c r="A20" s="10" t="n">
        <x:v>15</x:v>
      </x:c>
      <x:c r="B20" s="10" t="str">
        <x:v>Indian authors to read</x:v>
      </x:c>
      <x:c r="C20" s="10" t="str">
        <x:v>Informational</x:v>
      </x:c>
      <x:c r="D20" s="10" t="str">
        <x:v>Author discovery guide</x:v>
      </x:c>
      <x:c r="E20" s="10" t="str">
        <x:v>Explore Indian Authors by Reading Mood</x:v>
      </x:c>
      <x:c r="F20" s="10" t="str">
        <x:v>Idea only</x:v>
      </x:c>
      <x:c r="G20" s="10" t="str">
        <x:v>Not measured</x:v>
      </x:c>
      <x:c r="H20" s="10" t="str">
        <x:v>Not assessed</x:v>
      </x:c>
    </x:row>
    <x:row r="21" ht="60" customHeight="1">
      <x:c r="A21" s="11" t="n">
        <x:v>16</x:v>
      </x:c>
      <x:c r="B21" s="11" t="str">
        <x:v>books to gift a friend</x:v>
      </x:c>
      <x:c r="C21" s="11" t="str">
        <x:v>Commercial</x:v>
      </x:c>
      <x:c r="D21" s="11" t="str">
        <x:v>Gifting guide</x:v>
      </x:c>
      <x:c r="E21" s="11" t="str">
        <x:v>How to Choose Books to Gift a Friend</x:v>
      </x:c>
      <x:c r="F21" s="11" t="str">
        <x:v>Idea only</x:v>
      </x:c>
      <x:c r="G21" s="11" t="str">
        <x:v>Not measured</x:v>
      </x:c>
      <x:c r="H21" s="11" t="str">
        <x:v>Not assessed</x:v>
      </x:c>
    </x:row>
    <x:row r="22" ht="60" customHeight="1">
      <x:c r="A22" s="10" t="n">
        <x:v>17</x:v>
      </x:c>
      <x:c r="B22" s="10" t="str">
        <x:v>paperback vs hardcover</x:v>
      </x:c>
      <x:c r="C22" s="10" t="str">
        <x:v>Informational</x:v>
      </x:c>
      <x:c r="D22" s="10" t="str">
        <x:v>Format guide</x:v>
      </x:c>
      <x:c r="E22" s="10" t="str">
        <x:v>Paperback vs Hardcover: A Reader Guide</x:v>
      </x:c>
      <x:c r="F22" s="10" t="str">
        <x:v>Idea only</x:v>
      </x:c>
      <x:c r="G22" s="10" t="str">
        <x:v>Not measured</x:v>
      </x:c>
      <x:c r="H22" s="10" t="str">
        <x:v>Not assessed</x:v>
      </x:c>
    </x:row>
    <x:row r="23" ht="60" customHeight="1">
      <x:c r="A23" s="11" t="n">
        <x:v>18</x:v>
      </x:c>
      <x:c r="B23" s="11" t="str">
        <x:v>how to start a book club</x:v>
      </x:c>
      <x:c r="C23" s="11" t="str">
        <x:v>Informational</x:v>
      </x:c>
      <x:c r="D23" s="11" t="str">
        <x:v>Book club guide</x:v>
      </x:c>
      <x:c r="E23" s="11" t="str">
        <x:v>Start a Small Book Club with Friends</x:v>
      </x:c>
      <x:c r="F23" s="11" t="str">
        <x:v>Idea only</x:v>
      </x:c>
      <x:c r="G23" s="11" t="str">
        <x:v>Not measured</x:v>
      </x:c>
      <x:c r="H23" s="11" t="str">
        <x:v>Not assessed</x:v>
      </x:c>
    </x:row>
    <x:row r="24" ht="60" customHeight="1">
      <x:c r="A24" s="10" t="n">
        <x:v>19</x:v>
      </x:c>
      <x:c r="B24" s="10" t="str">
        <x:v>reading challenge for beginners</x:v>
      </x:c>
      <x:c r="C24" s="10" t="str">
        <x:v>Informational</x:v>
      </x:c>
      <x:c r="D24" s="10" t="str">
        <x:v>Challenge page</x:v>
      </x:c>
      <x:c r="E24" s="10" t="str">
        <x:v>A Gentle Reading Challenge for Beginners</x:v>
      </x:c>
      <x:c r="F24" s="10" t="str">
        <x:v>Idea only</x:v>
      </x:c>
      <x:c r="G24" s="10" t="str">
        <x:v>Not measured</x:v>
      </x:c>
      <x:c r="H24" s="10" t="str">
        <x:v>Not assessed</x:v>
      </x:c>
    </x:row>
    <x:row r="25" ht="60" customHeight="1">
      <x:c r="A25" s="11" t="n">
        <x:v>20</x:v>
      </x:c>
      <x:c r="B25" s="11" t="str">
        <x:v>book review template</x:v>
      </x:c>
      <x:c r="C25" s="11" t="str">
        <x:v>Informational</x:v>
      </x:c>
      <x:c r="D25" s="11" t="str">
        <x:v>Review template</x:v>
      </x:c>
      <x:c r="E25" s="11" t="str">
        <x:v>A Spoiler-Free Book Review Template</x:v>
      </x:c>
      <x:c r="F25" s="11" t="str">
        <x:v>Idea only</x:v>
      </x:c>
      <x:c r="G25" s="11" t="str">
        <x:v>Not measured</x:v>
      </x:c>
      <x:c r="H25" s="11" t="str">
        <x:v>Not assessed</x:v>
      </x:c>
    </x:row>
    <x:row r="26" ht="24" customHeight="1">
      <x:c r="A26" s="2"/>
      <x:c r="B26" s="2"/>
      <x:c r="C26" s="2"/>
      <x:c r="D26" s="2"/>
      <x:c r="E26" s="2"/>
      <x:c r="F26" s="2"/>
      <x:c r="G26" s="2"/>
      <x:c r="H26" s="2"/>
    </x:row>
    <x:row r="27" ht="48" customHeight="1">
      <x:c r="A27" s="9" t="str">
        <x:v>Validation step</x:v>
      </x:c>
      <x:c r="B27" s="9" t="str">
        <x:v>Evidence required</x:v>
      </x:c>
      <x:c r="C27" s="2"/>
      <x:c r="D27" s="2"/>
      <x:c r="E27" s="2"/>
      <x:c r="F27" s="2"/>
      <x:c r="G27" s="2"/>
      <x:c r="H27" s="2"/>
    </x:row>
    <x:row r="28" ht="48" customHeight="1">
      <x:c r="A28" s="9" t="str">
        <x:v>Search suggestions</x:v>
      </x:c>
      <x:c r="B28" s="9" t="str">
        <x:v>Exact query, date and screenshot</x:v>
      </x:c>
      <x:c r="C28" s="2"/>
      <x:c r="D28" s="2"/>
      <x:c r="E28" s="2"/>
      <x:c r="F28" s="2"/>
      <x:c r="G28" s="2"/>
      <x:c r="H28" s="2"/>
    </x:row>
    <x:row r="29" ht="48" customHeight="1">
      <x:c r="A29" s="9" t="str">
        <x:v>Result-page review</x:v>
      </x:c>
      <x:c r="B29" s="9" t="str">
        <x:v>Observed result types and reader intent</x:v>
      </x:c>
      <x:c r="C29" s="2"/>
      <x:c r="D29" s="2"/>
      <x:c r="E29" s="2"/>
      <x:c r="F29" s="2"/>
      <x:c r="G29" s="2"/>
      <x:c r="H29" s="2"/>
    </x:row>
    <x:row r="30" ht="48" customHeight="1">
      <x:c r="A30" s="9" t="str">
        <x:v>Topic mapping</x:v>
      </x:c>
      <x:c r="B30" s="9" t="str">
        <x:v>One useful page per related topic cluster</x:v>
      </x:c>
      <x:c r="C30" s="2"/>
      <x:c r="D30" s="2"/>
      <x:c r="E30" s="2"/>
      <x:c r="F30" s="2"/>
      <x:c r="G30" s="2"/>
      <x:c r="H30" s="2"/>
    </x:row>
    <x:row r="31" ht="48" customHeight="1">
      <x:c r="A31" s="9" t="str">
        <x:v>Measurement</x:v>
      </x:c>
      <x:c r="B31" s="9" t="str">
        <x:v>Record source and date if later measured; do not invent volume</x:v>
      </x:c>
      <x:c r="C31" s="2"/>
      <x:c r="D31" s="2"/>
      <x:c r="E31" s="2"/>
      <x:c r="F31" s="2"/>
      <x:c r="G31" s="2"/>
      <x:c r="H31" s="2"/>
    </x:row>
    <x:row r="32" ht="24" customHeight="1">
      <x:c r="A32" s="2"/>
      <x:c r="B32" s="2"/>
      <x:c r="C32" s="2"/>
      <x:c r="D32" s="2"/>
      <x:c r="E32" s="2"/>
      <x:c r="F32" s="2"/>
      <x:c r="G32" s="2"/>
      <x:c r="H32" s="2"/>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8" hidden="0" customWidth="1"/>
    <x:col min="2" max="2" width="18" hidden="0" customWidth="1"/>
    <x:col min="3" max="3" width="34" hidden="0" customWidth="1"/>
    <x:col min="4" max="4" width="64" hidden="0" customWidth="1"/>
    <x:col min="5" max="5" width="32" hidden="0" customWidth="1"/>
    <x:col min="6" max="6" width="18" hidden="0" customWidth="1"/>
    <x:col min="7" max="7" width="12" hidden="0" customWidth="1"/>
    <x:col min="8" max="8" width="18" hidden="0" customWidth="1"/>
    <x:col min="9" max="9" width="45" hidden="0" customWidth="1"/>
  </x:cols>
  <x:sheetData>
    <x:row r="1" ht="24" customHeight="1">
      <x:c r="A1" s="2"/>
      <x:c r="B1" s="2"/>
      <x:c r="C1" s="2"/>
      <x:c r="D1" s="2"/>
      <x:c r="E1" s="2"/>
      <x:c r="F1" s="2"/>
      <x:c r="G1" s="2"/>
      <x:c r="H1" s="2"/>
      <x:c r="I1" s="2"/>
    </x:row>
    <x:row r="2" ht="24" customHeight="1">
      <x:c r="A2" s="3" t="str">
        <x:v>30-day Instagram calendar</x:v>
      </x:c>
      <x:c r="B2" s="2"/>
      <x:c r="C2" s="2"/>
      <x:c r="D2" s="2"/>
      <x:c r="E2" s="2"/>
      <x:c r="F2" s="2"/>
      <x:c r="G2" s="2"/>
      <x:c r="H2" s="2"/>
      <x:c r="I2" s="2"/>
    </x:row>
    <x:row r="3" ht="24" customHeight="1">
      <x:c r="A3" s="4" t="str">
        <x:v>Relative days. 19 feed assets and 11 Story days. No posts scheduled or published.</x:v>
      </x:c>
      <x:c r="B3" s="2"/>
      <x:c r="C3" s="2"/>
      <x:c r="D3" s="2"/>
      <x:c r="E3" s="2"/>
      <x:c r="F3" s="2"/>
      <x:c r="G3" s="2"/>
      <x:c r="H3" s="2"/>
      <x:c r="I3" s="2"/>
    </x:row>
    <x:row r="4" ht="24" customHeight="1">
      <x:c r="A4" s="2"/>
      <x:c r="B4" s="2"/>
      <x:c r="C4" s="2"/>
      <x:c r="D4" s="2"/>
      <x:c r="E4" s="2"/>
      <x:c r="F4" s="2"/>
      <x:c r="G4" s="2"/>
      <x:c r="H4" s="2"/>
      <x:c r="I4" s="2"/>
    </x:row>
    <x:row r="5" ht="36" customHeight="1">
      <x:c r="A5" s="8" t="str">
        <x:v>Day</x:v>
      </x:c>
      <x:c r="B5" s="8" t="str">
        <x:v>Format</x:v>
      </x:c>
      <x:c r="C5" s="8" t="str">
        <x:v>Theme</x:v>
      </x:c>
      <x:c r="D5" s="8" t="str">
        <x:v>Creative direction</x:v>
      </x:c>
      <x:c r="E5" s="8" t="str">
        <x:v>CTA</x:v>
      </x:c>
      <x:c r="F5" s="8" t="str">
        <x:v>Primary KPI</x:v>
      </x:c>
      <x:c r="G5" s="8" t="str">
        <x:v>Post brief</x:v>
      </x:c>
      <x:c r="H5" s="8" t="str">
        <x:v>Status</x:v>
      </x:c>
      <x:c r="I5" s="8" t="str">
        <x:v>Published URL / ID</x:v>
      </x:c>
    </x:row>
    <x:row r="6" ht="60" customHeight="1">
      <x:c r="A6" s="10" t="n">
        <x:v>1</x:v>
      </x:c>
      <x:c r="B6" s="10" t="str">
        <x:v>Carousel</x:v>
      </x:c>
      <x:c r="C6" s="10" t="str">
        <x:v>Welcome to BookNest</x:v>
      </x:c>
      <x:c r="D6" s="10" t="str">
        <x:v>Introduce the fictional project and ask reading mood</x:v>
      </x:c>
      <x:c r="E6" s="10" t="str">
        <x:v>Comment your mood</x:v>
      </x:c>
      <x:c r="F6" s="10" t="str">
        <x:v>Comments</x:v>
      </x:c>
      <x:c r="G6" s="10" t="str">
        <x:v>P1</x:v>
      </x:c>
      <x:c r="H6" s="12" t="str">
        <x:v>Designed</x:v>
      </x:c>
      <x:c r="I6" s="12" t="str"/>
    </x:row>
    <x:row r="7" ht="60" customHeight="1">
      <x:c r="A7" s="11" t="n">
        <x:v>2</x:v>
      </x:c>
      <x:c r="B7" s="11" t="str">
        <x:v>Story</x:v>
      </x:c>
      <x:c r="C7" s="11" t="str">
        <x:v>Fiction or nonfiction?</x:v>
      </x:c>
      <x:c r="D7" s="11" t="str">
        <x:v>Two-option poll with a follow-up question</x:v>
      </x:c>
      <x:c r="E7" s="11" t="str">
        <x:v>Vote in poll</x:v>
      </x:c>
      <x:c r="F7" s="11" t="str">
        <x:v>Votes</x:v>
      </x:c>
      <x:c r="G7" s="11" t="str"/>
      <x:c r="H7" s="12" t="str">
        <x:v>Draft</x:v>
      </x:c>
      <x:c r="I7" s="12" t="str"/>
    </x:row>
    <x:row r="8" ht="60" customHeight="1">
      <x:c r="A8" s="10" t="n">
        <x:v>3</x:v>
      </x:c>
      <x:c r="B8" s="10" t="str">
        <x:v>Reel</x:v>
      </x:c>
      <x:c r="C8" s="10" t="str">
        <x:v>A 10-minute reading reset</x:v>
      </x:c>
      <x:c r="D8" s="10" t="str">
        <x:v>Show a book, timer and quiet space</x:v>
      </x:c>
      <x:c r="E8" s="10" t="str">
        <x:v>Save for later</x:v>
      </x:c>
      <x:c r="F8" s="10" t="str">
        <x:v>Saves</x:v>
      </x:c>
      <x:c r="G8" s="10" t="str"/>
      <x:c r="H8" s="12" t="str">
        <x:v>Draft</x:v>
      </x:c>
      <x:c r="I8" s="12" t="str"/>
    </x:row>
    <x:row r="9" ht="60" customHeight="1">
      <x:c r="A9" s="11" t="n">
        <x:v>4</x:v>
      </x:c>
      <x:c r="B9" s="11" t="str">
        <x:v>Carousel</x:v>
      </x:c>
      <x:c r="C9" s="11" t="str">
        <x:v>Choose your next read</x:v>
      </x:c>
      <x:c r="D9" s="11" t="str">
        <x:v>Five-question checklist</x:v>
      </x:c>
      <x:c r="E9" s="11" t="str">
        <x:v>Save the checklist</x:v>
      </x:c>
      <x:c r="F9" s="11" t="str">
        <x:v>Saves</x:v>
      </x:c>
      <x:c r="G9" s="11" t="str">
        <x:v>P2</x:v>
      </x:c>
      <x:c r="H9" s="12" t="str">
        <x:v>Designed</x:v>
      </x:c>
      <x:c r="I9" s="12" t="str"/>
    </x:row>
    <x:row r="10" ht="60" customHeight="1">
      <x:c r="A10" s="10" t="n">
        <x:v>5</x:v>
      </x:c>
      <x:c r="B10" s="10" t="str">
        <x:v>Story</x:v>
      </x:c>
      <x:c r="C10" s="10" t="str">
        <x:v>Your current read</x:v>
      </x:c>
      <x:c r="D10" s="10" t="str">
        <x:v>Question sticker with permission before resharing</x:v>
      </x:c>
      <x:c r="E10" s="10" t="str">
        <x:v>Reply with a title</x:v>
      </x:c>
      <x:c r="F10" s="10" t="str">
        <x:v>Replies</x:v>
      </x:c>
      <x:c r="G10" s="10" t="str"/>
      <x:c r="H10" s="12" t="str">
        <x:v>Draft</x:v>
      </x:c>
      <x:c r="I10" s="12" t="str"/>
    </x:row>
    <x:row r="11" ht="60" customHeight="1">
      <x:c r="A11" s="11" t="n">
        <x:v>6</x:v>
      </x:c>
      <x:c r="B11" s="11" t="str">
        <x:v>Static</x:v>
      </x:c>
      <x:c r="C11" s="11" t="str">
        <x:v>Weekend reading corner</x:v>
      </x:c>
      <x:c r="D11" s="11" t="str">
        <x:v>Use original photo or simple text design</x:v>
      </x:c>
      <x:c r="E11" s="11" t="str">
        <x:v>Describe your reading spot</x:v>
      </x:c>
      <x:c r="F11" s="11" t="str">
        <x:v>Comments</x:v>
      </x:c>
      <x:c r="G11" s="11" t="str"/>
      <x:c r="H11" s="12" t="str">
        <x:v>Draft</x:v>
      </x:c>
      <x:c r="I11" s="12" t="str"/>
    </x:row>
    <x:row r="12" ht="60" customHeight="1">
      <x:c r="A12" s="10" t="n">
        <x:v>7</x:v>
      </x:c>
      <x:c r="B12" s="10" t="str">
        <x:v>Story</x:v>
      </x:c>
      <x:c r="C12" s="10" t="str">
        <x:v>Week 1 reflection</x:v>
      </x:c>
      <x:c r="D12" s="10" t="str">
        <x:v>Share one reading habit learned, no invented stats</x:v>
      </x:c>
      <x:c r="E12" s="10" t="str">
        <x:v>Reply with your win</x:v>
      </x:c>
      <x:c r="F12" s="10" t="str">
        <x:v>Replies</x:v>
      </x:c>
      <x:c r="G12" s="10" t="str"/>
      <x:c r="H12" s="12" t="str">
        <x:v>Draft</x:v>
      </x:c>
      <x:c r="I12" s="12" t="str"/>
    </x:row>
    <x:row r="13" ht="60" customHeight="1">
      <x:c r="A13" s="11" t="n">
        <x:v>8</x:v>
      </x:c>
      <x:c r="B13" s="11" t="str">
        <x:v>Carousel</x:v>
      </x:c>
      <x:c r="C13" s="11" t="str">
        <x:v>Reading on a student budget</x:v>
      </x:c>
      <x:c r="D13" s="11" t="str">
        <x:v>Library, swapping and wish-list ideas</x:v>
      </x:c>
      <x:c r="E13" s="11" t="str">
        <x:v>Save these ideas</x:v>
      </x:c>
      <x:c r="F13" s="11" t="str">
        <x:v>Saves</x:v>
      </x:c>
      <x:c r="G13" s="11" t="str">
        <x:v>P3</x:v>
      </x:c>
      <x:c r="H13" s="12" t="str">
        <x:v>Designed</x:v>
      </x:c>
      <x:c r="I13" s="12" t="str"/>
    </x:row>
    <x:row r="14" ht="60" customHeight="1">
      <x:c r="A14" s="10" t="n">
        <x:v>9</x:v>
      </x:c>
      <x:c r="B14" s="10" t="str">
        <x:v>Reel</x:v>
      </x:c>
      <x:c r="C14" s="10" t="str">
        <x:v>Fiction or nonfiction today?</x:v>
      </x:c>
      <x:c r="D14" s="10" t="str">
        <x:v>Explain mood-based choices with original narration</x:v>
      </x:c>
      <x:c r="E14" s="10" t="str">
        <x:v>Comment your choice</x:v>
      </x:c>
      <x:c r="F14" s="10" t="str">
        <x:v>Comments</x:v>
      </x:c>
      <x:c r="G14" s="10" t="str"/>
      <x:c r="H14" s="12" t="str">
        <x:v>Draft</x:v>
      </x:c>
      <x:c r="I14" s="12" t="str"/>
    </x:row>
    <x:row r="15" ht="60" customHeight="1">
      <x:c r="A15" s="11" t="n">
        <x:v>10</x:v>
      </x:c>
      <x:c r="B15" s="11" t="str">
        <x:v>Story</x:v>
      </x:c>
      <x:c r="C15" s="11" t="str">
        <x:v>What stops you reading?</x:v>
      </x:c>
      <x:c r="D15" s="11" t="str">
        <x:v>Poll: time, choice, focus or access</x:v>
      </x:c>
      <x:c r="E15" s="11" t="str">
        <x:v>Vote</x:v>
      </x:c>
      <x:c r="F15" s="11" t="str">
        <x:v>Votes</x:v>
      </x:c>
      <x:c r="G15" s="11" t="str"/>
      <x:c r="H15" s="12" t="str">
        <x:v>Draft</x:v>
      </x:c>
      <x:c r="I15" s="12" t="str"/>
    </x:row>
    <x:row r="16" ht="60" customHeight="1">
      <x:c r="A16" s="10" t="n">
        <x:v>11</x:v>
      </x:c>
      <x:c r="B16" s="10" t="str">
        <x:v>Carousel</x:v>
      </x:c>
      <x:c r="C16" s="10" t="str">
        <x:v>Paperback vs hardcover</x:v>
      </x:c>
      <x:c r="D16" s="10" t="str">
        <x:v>Compare portability and preference without price claims</x:v>
      </x:c>
      <x:c r="E16" s="10" t="str">
        <x:v>Share your preference</x:v>
      </x:c>
      <x:c r="F16" s="10" t="str">
        <x:v>Comments</x:v>
      </x:c>
      <x:c r="G16" s="10" t="str"/>
      <x:c r="H16" s="12" t="str">
        <x:v>Draft</x:v>
      </x:c>
      <x:c r="I16" s="12" t="str"/>
    </x:row>
    <x:row r="17" ht="60" customHeight="1">
      <x:c r="A17" s="11" t="n">
        <x:v>12</x:v>
      </x:c>
      <x:c r="B17" s="11" t="str">
        <x:v>Static</x:v>
      </x:c>
      <x:c r="C17" s="11" t="str">
        <x:v>One sentence review</x:v>
      </x:c>
      <x:c r="D17" s="11" t="str">
        <x:v>Introduce the spoiler-free review template</x:v>
      </x:c>
      <x:c r="E17" s="11" t="str">
        <x:v>Try the template</x:v>
      </x:c>
      <x:c r="F17" s="11" t="str">
        <x:v>Comments</x:v>
      </x:c>
      <x:c r="G17" s="11" t="str"/>
      <x:c r="H17" s="12" t="str">
        <x:v>Draft</x:v>
      </x:c>
      <x:c r="I17" s="12" t="str"/>
    </x:row>
    <x:row r="18" ht="60" customHeight="1">
      <x:c r="A18" s="10" t="n">
        <x:v>13</x:v>
      </x:c>
      <x:c r="B18" s="10" t="str">
        <x:v>Story</x:v>
      </x:c>
      <x:c r="C18" s="10" t="str">
        <x:v>Ask a reader</x:v>
      </x:c>
      <x:c r="D18" s="10" t="str">
        <x:v>Collect book-selection questions</x:v>
      </x:c>
      <x:c r="E18" s="10" t="str">
        <x:v>Submit a question</x:v>
      </x:c>
      <x:c r="F18" s="10" t="str">
        <x:v>Replies</x:v>
      </x:c>
      <x:c r="G18" s="10" t="str"/>
      <x:c r="H18" s="12" t="str">
        <x:v>Draft</x:v>
      </x:c>
      <x:c r="I18" s="12" t="str"/>
    </x:row>
    <x:row r="19" ht="60" customHeight="1">
      <x:c r="A19" s="11" t="n">
        <x:v>14</x:v>
      </x:c>
      <x:c r="B19" s="11" t="str">
        <x:v>Reel</x:v>
      </x:c>
      <x:c r="C19" s="11" t="str">
        <x:v>Three ways to find reading time</x:v>
      </x:c>
      <x:c r="D19" s="11" t="str">
        <x:v>Commute break, bedtime or lunch pause</x:v>
      </x:c>
      <x:c r="E19" s="11" t="str">
        <x:v>Save one idea</x:v>
      </x:c>
      <x:c r="F19" s="11" t="str">
        <x:v>Saves</x:v>
      </x:c>
      <x:c r="G19" s="11" t="str"/>
      <x:c r="H19" s="12" t="str">
        <x:v>Draft</x:v>
      </x:c>
      <x:c r="I19" s="12" t="str"/>
    </x:row>
    <x:row r="20" ht="60" customHeight="1">
      <x:c r="A20" s="10" t="n">
        <x:v>15</x:v>
      </x:c>
      <x:c r="B20" s="10" t="str">
        <x:v>Carousel</x:v>
      </x:c>
      <x:c r="C20" s="10" t="str">
        <x:v>7-day reading challenge</x:v>
      </x:c>
      <x:c r="D20" s="10" t="str">
        <x:v>Invite a small achievable routine</x:v>
      </x:c>
      <x:c r="E20" s="10" t="str">
        <x:v>Comment START</x:v>
      </x:c>
      <x:c r="F20" s="10" t="str">
        <x:v>Comments</x:v>
      </x:c>
      <x:c r="G20" s="10" t="str">
        <x:v>P4</x:v>
      </x:c>
      <x:c r="H20" s="12" t="str">
        <x:v>Designed</x:v>
      </x:c>
      <x:c r="I20" s="12" t="str"/>
    </x:row>
    <x:row r="21" ht="60" customHeight="1">
      <x:c r="A21" s="11" t="n">
        <x:v>16</x:v>
      </x:c>
      <x:c r="B21" s="11" t="str">
        <x:v>Story</x:v>
      </x:c>
      <x:c r="C21" s="11" t="str">
        <x:v>Challenge check-in 1</x:v>
      </x:c>
      <x:c r="D21" s="11" t="str">
        <x:v>Ask what time people chose</x:v>
      </x:c>
      <x:c r="E21" s="11" t="str">
        <x:v>Reply</x:v>
      </x:c>
      <x:c r="F21" s="11" t="str">
        <x:v>Replies</x:v>
      </x:c>
      <x:c r="G21" s="11" t="str"/>
      <x:c r="H21" s="12" t="str">
        <x:v>Draft</x:v>
      </x:c>
      <x:c r="I21" s="12" t="str"/>
    </x:row>
    <x:row r="22" ht="60" customHeight="1">
      <x:c r="A22" s="10" t="n">
        <x:v>17</x:v>
      </x:c>
      <x:c r="B22" s="10" t="str">
        <x:v>Reel</x:v>
      </x:c>
      <x:c r="C22" s="10" t="str">
        <x:v>How I choose a book</x:v>
      </x:c>
      <x:c r="D22" s="10" t="str">
        <x:v>Demonstrate blurb, sample and fit using own notes</x:v>
      </x:c>
      <x:c r="E22" s="10" t="str">
        <x:v>Read demo blog after publishing</x:v>
      </x:c>
      <x:c r="F22" s="10" t="str">
        <x:v>Link clicks</x:v>
      </x:c>
      <x:c r="G22" s="10" t="str"/>
      <x:c r="H22" s="12" t="str">
        <x:v>Draft</x:v>
      </x:c>
      <x:c r="I22" s="12" t="str"/>
    </x:row>
    <x:row r="23" ht="60" customHeight="1">
      <x:c r="A23" s="11" t="n">
        <x:v>18</x:v>
      </x:c>
      <x:c r="B23" s="11" t="str">
        <x:v>Carousel</x:v>
      </x:c>
      <x:c r="C23" s="11" t="str">
        <x:v>Explore Indian writing</x:v>
      </x:c>
      <x:c r="D23" s="11" t="str">
        <x:v>Discuss genre, language and translation as selection prompts</x:v>
      </x:c>
      <x:c r="E23" s="11" t="str">
        <x:v>Suggest a title</x:v>
      </x:c>
      <x:c r="F23" s="11" t="str">
        <x:v>Comments</x:v>
      </x:c>
      <x:c r="G23" s="11" t="str"/>
      <x:c r="H23" s="12" t="str">
        <x:v>Draft</x:v>
      </x:c>
      <x:c r="I23" s="12" t="str"/>
    </x:row>
    <x:row r="24" ht="60" customHeight="1">
      <x:c r="A24" s="10" t="n">
        <x:v>19</x:v>
      </x:c>
      <x:c r="B24" s="10" t="str">
        <x:v>Story</x:v>
      </x:c>
      <x:c r="C24" s="10" t="str">
        <x:v>Challenge check-in 2</x:v>
      </x:c>
      <x:c r="D24" s="10" t="str">
        <x:v>Ask how the routine feels</x:v>
      </x:c>
      <x:c r="E24" s="10" t="str">
        <x:v>Reply</x:v>
      </x:c>
      <x:c r="F24" s="10" t="str">
        <x:v>Replies</x:v>
      </x:c>
      <x:c r="G24" s="10" t="str"/>
      <x:c r="H24" s="12" t="str">
        <x:v>Draft</x:v>
      </x:c>
      <x:c r="I24" s="12" t="str"/>
    </x:row>
    <x:row r="25" ht="60" customHeight="1">
      <x:c r="A25" s="11" t="n">
        <x:v>20</x:v>
      </x:c>
      <x:c r="B25" s="11" t="str">
        <x:v>Static</x:v>
      </x:c>
      <x:c r="C25" s="11" t="str">
        <x:v>Reading without guilt</x:v>
      </x:c>
      <x:c r="D25" s="11" t="str">
        <x:v>Acknowledge pausing a book that does not fit</x:v>
      </x:c>
      <x:c r="E25" s="11" t="str">
        <x:v>Share with a friend</x:v>
      </x:c>
      <x:c r="F25" s="11" t="str">
        <x:v>Shares</x:v>
      </x:c>
      <x:c r="G25" s="11" t="str"/>
      <x:c r="H25" s="12" t="str">
        <x:v>Draft</x:v>
      </x:c>
      <x:c r="I25" s="12" t="str"/>
    </x:row>
    <x:row r="26" ht="60" customHeight="1">
      <x:c r="A26" s="10" t="n">
        <x:v>21</x:v>
      </x:c>
      <x:c r="B26" s="10" t="str">
        <x:v>Story</x:v>
      </x:c>
      <x:c r="C26" s="10" t="str">
        <x:v>Challenge reflection</x:v>
      </x:c>
      <x:c r="D26" s="10" t="str">
        <x:v>Collect voluntary reflections; no completion claims</x:v>
      </x:c>
      <x:c r="E26" s="10" t="str">
        <x:v>Reply with one lesson</x:v>
      </x:c>
      <x:c r="F26" s="10" t="str">
        <x:v>Replies</x:v>
      </x:c>
      <x:c r="G26" s="10" t="str"/>
      <x:c r="H26" s="12" t="str">
        <x:v>Draft</x:v>
      </x:c>
      <x:c r="I26" s="12" t="str"/>
    </x:row>
    <x:row r="27" ht="60" customHeight="1">
      <x:c r="A27" s="11" t="n">
        <x:v>22</x:v>
      </x:c>
      <x:c r="B27" s="11" t="str">
        <x:v>Carousel</x:v>
      </x:c>
      <x:c r="C27" s="11" t="str">
        <x:v>Review without spoilers</x:v>
      </x:c>
      <x:c r="D27" s="11" t="str">
        <x:v>Plot setup, feeling, reader fit and one takeaway</x:v>
      </x:c>
      <x:c r="E27" s="11" t="str">
        <x:v>Write a mini review</x:v>
      </x:c>
      <x:c r="F27" s="11" t="str">
        <x:v>Comments</x:v>
      </x:c>
      <x:c r="G27" s="11" t="str">
        <x:v>P5</x:v>
      </x:c>
      <x:c r="H27" s="12" t="str">
        <x:v>Designed</x:v>
      </x:c>
      <x:c r="I27" s="12" t="str"/>
    </x:row>
    <x:row r="28" ht="60" customHeight="1">
      <x:c r="A28" s="10" t="n">
        <x:v>23</x:v>
      </x:c>
      <x:c r="B28" s="10" t="str">
        <x:v>Reel</x:v>
      </x:c>
      <x:c r="C28" s="10" t="str">
        <x:v>Build a reading wish list</x:v>
      </x:c>
      <x:c r="D28" s="10" t="str">
        <x:v>Organise by mood and available reading time</x:v>
      </x:c>
      <x:c r="E28" s="10" t="str">
        <x:v>Save the method</x:v>
      </x:c>
      <x:c r="F28" s="10" t="str">
        <x:v>Saves</x:v>
      </x:c>
      <x:c r="G28" s="10" t="str"/>
      <x:c r="H28" s="12" t="str">
        <x:v>Draft</x:v>
      </x:c>
      <x:c r="I28" s="12" t="str"/>
    </x:row>
    <x:row r="29" ht="60" customHeight="1">
      <x:c r="A29" s="11" t="n">
        <x:v>24</x:v>
      </x:c>
      <x:c r="B29" s="11" t="str">
        <x:v>Story</x:v>
      </x:c>
      <x:c r="C29" s="11" t="str">
        <x:v>Gift-a-book question</x:v>
      </x:c>
      <x:c r="D29" s="11" t="str">
        <x:v>Ask recipient preference before choosing</x:v>
      </x:c>
      <x:c r="E29" s="11" t="str">
        <x:v>Vote on genre</x:v>
      </x:c>
      <x:c r="F29" s="11" t="str">
        <x:v>Votes</x:v>
      </x:c>
      <x:c r="G29" s="11" t="str"/>
      <x:c r="H29" s="12" t="str">
        <x:v>Draft</x:v>
      </x:c>
      <x:c r="I29" s="12" t="str"/>
    </x:row>
    <x:row r="30" ht="60" customHeight="1">
      <x:c r="A30" s="10" t="n">
        <x:v>25</x:v>
      </x:c>
      <x:c r="B30" s="10" t="str">
        <x:v>Carousel</x:v>
      </x:c>
      <x:c r="C30" s="10" t="str">
        <x:v>Start a small book club</x:v>
      </x:c>
      <x:c r="D30" s="10" t="str">
        <x:v>Set length, pace and discussion questions</x:v>
      </x:c>
      <x:c r="E30" s="10" t="str">
        <x:v>Tag an interested friend</x:v>
      </x:c>
      <x:c r="F30" s="10" t="str">
        <x:v>Comments</x:v>
      </x:c>
      <x:c r="G30" s="10" t="str"/>
      <x:c r="H30" s="12" t="str">
        <x:v>Draft</x:v>
      </x:c>
      <x:c r="I30" s="12" t="str"/>
    </x:row>
    <x:row r="31" ht="60" customHeight="1">
      <x:c r="A31" s="11" t="n">
        <x:v>26</x:v>
      </x:c>
      <x:c r="B31" s="11" t="str">
        <x:v>Static</x:v>
      </x:c>
      <x:c r="C31" s="11" t="str">
        <x:v>Behind the portfolio</x:v>
      </x:c>
      <x:c r="D31" s="11" t="str">
        <x:v>Show content planning process and fictional-brand label</x:v>
      </x:c>
      <x:c r="E31" s="11" t="str">
        <x:v>Ask a project question</x:v>
      </x:c>
      <x:c r="F31" s="11" t="str">
        <x:v>Comments</x:v>
      </x:c>
      <x:c r="G31" s="11" t="str"/>
      <x:c r="H31" s="12" t="str">
        <x:v>Draft</x:v>
      </x:c>
      <x:c r="I31" s="12" t="str"/>
    </x:row>
    <x:row r="32" ht="60" customHeight="1">
      <x:c r="A32" s="10" t="n">
        <x:v>27</x:v>
      </x:c>
      <x:c r="B32" s="10" t="str">
        <x:v>Story</x:v>
      </x:c>
      <x:c r="C32" s="10" t="str">
        <x:v>Reader questions answered</x:v>
      </x:c>
      <x:c r="D32" s="10" t="str">
        <x:v>Answer a previously submitted question anonymously</x:v>
      </x:c>
      <x:c r="E32" s="10" t="str">
        <x:v>Send next question</x:v>
      </x:c>
      <x:c r="F32" s="10" t="str">
        <x:v>Replies</x:v>
      </x:c>
      <x:c r="G32" s="10" t="str"/>
      <x:c r="H32" s="12" t="str">
        <x:v>Draft</x:v>
      </x:c>
      <x:c r="I32" s="12" t="str"/>
    </x:row>
    <x:row r="33" ht="60" customHeight="1">
      <x:c r="A33" s="11" t="n">
        <x:v>28</x:v>
      </x:c>
      <x:c r="B33" s="11" t="str">
        <x:v>Reel</x:v>
      </x:c>
      <x:c r="C33" s="11" t="str">
        <x:v>What changed in my reading routine?</x:v>
      </x:c>
      <x:c r="D33" s="11" t="str">
        <x:v>Share only personal observations actually recorded</x:v>
      </x:c>
      <x:c r="E33" s="11" t="str">
        <x:v>Comment your lesson</x:v>
      </x:c>
      <x:c r="F33" s="11" t="str">
        <x:v>Comments</x:v>
      </x:c>
      <x:c r="G33" s="11" t="str"/>
      <x:c r="H33" s="12" t="str">
        <x:v>Draft</x:v>
      </x:c>
      <x:c r="I33" s="12" t="str"/>
    </x:row>
    <x:row r="34" ht="60" customHeight="1">
      <x:c r="A34" s="10" t="n">
        <x:v>29</x:v>
      </x:c>
      <x:c r="B34" s="10" t="str">
        <x:v>Carousel</x:v>
      </x:c>
      <x:c r="C34" s="10" t="str">
        <x:v>Monthly reading reflection</x:v>
      </x:c>
      <x:c r="D34" s="10" t="str">
        <x:v>Use favourite moment, unfinished book and next mood prompts</x:v>
      </x:c>
      <x:c r="E34" s="10" t="str">
        <x:v>Save for your journal</x:v>
      </x:c>
      <x:c r="F34" s="10" t="str">
        <x:v>Saves</x:v>
      </x:c>
      <x:c r="G34" s="10" t="str"/>
      <x:c r="H34" s="12" t="str">
        <x:v>Draft</x:v>
      </x:c>
      <x:c r="I34" s="12" t="str"/>
    </x:row>
    <x:row r="35" ht="60" customHeight="1">
      <x:c r="A35" s="11" t="n">
        <x:v>30</x:v>
      </x:c>
      <x:c r="B35" s="11" t="str">
        <x:v>Story</x:v>
      </x:c>
      <x:c r="C35" s="11" t="str">
        <x:v>Choose next month theme</x:v>
      </x:c>
      <x:c r="D35" s="11" t="str">
        <x:v>Poll: short reads, Indian fiction or reading habits</x:v>
      </x:c>
      <x:c r="E35" s="11" t="str">
        <x:v>Vote</x:v>
      </x:c>
      <x:c r="F35" s="11" t="str">
        <x:v>Votes</x:v>
      </x:c>
      <x:c r="G35" s="11" t="str"/>
      <x:c r="H35" s="12" t="str">
        <x:v>Draft</x:v>
      </x:c>
      <x:c r="I35" s="12" t="str"/>
    </x:row>
  </x:sheetData>
  <x:dataValidations count="1">
    <x:dataValidation type="list" sqref="H6:H35">
      <x:formula1>"Draft,Designed,Published,Measured"</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2" hidden="0" customWidth="1"/>
    <x:col min="2" max="2" width="34" hidden="0" customWidth="1"/>
    <x:col min="3" max="3" width="120" hidden="0" customWidth="1"/>
  </x:cols>
  <x:sheetData>
    <x:row r="1" ht="24" customHeight="1">
      <x:c r="A1" s="2"/>
      <x:c r="B1" s="2"/>
      <x:c r="C1" s="2"/>
    </x:row>
    <x:row r="2" ht="24" customHeight="1">
      <x:c r="A2" s="3" t="str">
        <x:v>Copy library</x:v>
      </x:c>
      <x:c r="B2" s="2"/>
      <x:c r="C2" s="2"/>
    </x:row>
    <x:row r="3" ht="24" customHeight="1">
      <x:c r="A3" s="4" t="str">
        <x:v>Draft copy plus 26 finished carousel slides in Creative Kit. No posts published or emails sent.</x:v>
      </x:c>
      <x:c r="B3" s="2"/>
      <x:c r="C3" s="2"/>
    </x:row>
    <x:row r="4" ht="24" customHeight="1">
      <x:c r="A4" s="2"/>
      <x:c r="B4" s="2"/>
      <x:c r="C4" s="2"/>
    </x:row>
    <x:row r="5" ht="36" customHeight="1">
      <x:c r="A5" s="8" t="str">
        <x:v>Asset</x:v>
      </x:c>
      <x:c r="B5" s="8" t="str">
        <x:v>Field</x:v>
      </x:c>
      <x:c r="C5" s="8" t="str">
        <x:v>Draft copy</x:v>
      </x:c>
    </x:row>
    <x:row r="6" ht="44" customHeight="1">
      <x:c r="A6" s="10" t="str">
        <x:v>P1</x:v>
      </x:c>
      <x:c r="B6" s="10" t="str">
        <x:v>Concept</x:v>
      </x:c>
      <x:c r="C6" s="12" t="str">
        <x:v>Welcome to BookNest - Day 1 carousel, 5 slides</x:v>
      </x:c>
    </x:row>
    <x:row r="7" ht="60" customHeight="1">
      <x:c r="A7" s="11" t="str">
        <x:v>P1</x:v>
      </x:c>
      <x:c r="B7" s="11" t="str">
        <x:v>Slide copy</x:v>
      </x:c>
      <x:c r="C7" s="12" t="str">
        <x:v>1: Your next read starts with a mood. 2: Want escape? Try fiction. 3: Want a new idea? Try nonfiction. 4: Want a small start? Pick a manageable length. 5: What is your reading mood today?</x:v>
      </x:c>
    </x:row>
    <x:row r="8" ht="76" customHeight="1">
      <x:c r="A8" s="10" t="str">
        <x:v>P1</x:v>
      </x:c>
      <x:c r="B8" s="10" t="str">
        <x:v>Caption</x:v>
      </x:c>
      <x:c r="C8" s="12" t="str">
        <x:v>Welcome to BookNest, a fictional bookstore portfolio project for readers who want a little help choosing their next book. Start with a mood: curious, comfort-seeking or ready for adventure. Which one feels like you today? Tell us in the comments. #BookNest #IndianReaders #ReadingCommunity</x:v>
      </x:c>
    </x:row>
    <x:row r="9" ht="60" customHeight="1">
      <x:c r="A9" s="11" t="str">
        <x:v>P1</x:v>
      </x:c>
      <x:c r="B9" s="11" t="str">
        <x:v>Design</x:v>
      </x:c>
      <x:c r="C9" s="12" t="str">
        <x:v>Cream background, forest-green headings, original line drawings of books. Put "Fictional brand / portfolio project" in the final slide footer.</x:v>
      </x:c>
    </x:row>
    <x:row r="10" ht="44" customHeight="1">
      <x:c r="A10" s="10" t="str">
        <x:v>P1</x:v>
      </x:c>
      <x:c r="B10" s="10" t="str">
        <x:v>Alt text</x:v>
      </x:c>
      <x:c r="C10" s="12" t="str">
        <x:v>Alt text: Five text slides invite readers to choose a book by mood and share their preference.</x:v>
      </x:c>
    </x:row>
    <x:row r="11" ht="44" customHeight="1">
      <x:c r="A11" s="11" t="str">
        <x:v>P2</x:v>
      </x:c>
      <x:c r="B11" s="11" t="str">
        <x:v>Concept</x:v>
      </x:c>
      <x:c r="C11" s="12" t="str">
        <x:v>Choose your next read - Day 4 carousel, 6 slides</x:v>
      </x:c>
    </x:row>
    <x:row r="12" ht="60" customHeight="1">
      <x:c r="A12" s="10" t="str">
        <x:v>P2</x:v>
      </x:c>
      <x:c r="B12" s="10" t="str">
        <x:v>Slide copy</x:v>
      </x:c>
      <x:c r="C12" s="12" t="str">
        <x:v>1: Too many books, no idea where to start? 2: Name your mood. 3: Choose a language you enjoy. 4: Read the blurb and a sample. 5: Match the length to your week. 6: Keep one first choice and one backup.</x:v>
      </x:c>
    </x:row>
    <x:row r="13" ht="76" customHeight="1">
      <x:c r="A13" s="11" t="str">
        <x:v>P2</x:v>
      </x:c>
      <x:c r="B13" s="11" t="str">
        <x:v>Caption</x:v>
      </x:c>
      <x:c r="C13" s="12" t="str">
        <x:v>Your next book does not have to impress anyone. Ask yourself: What mood am I in? Which language feels comfortable? Do I enjoy the sample? Can I make time for it this week? Save this checklist for your next library visit or book search. What helps you decide? #BookNest #ReadingTips #BookLoversIndia</x:v>
      </x:c>
    </x:row>
    <x:row r="14" ht="44" customHeight="1">
      <x:c r="A14" s="10" t="str">
        <x:v>P2</x:v>
      </x:c>
      <x:c r="B14" s="10" t="str">
        <x:v>Design</x:v>
      </x:c>
      <x:c r="C14" s="12" t="str">
        <x:v>Numbered checklist, one idea per slide; no book-cover images needed.</x:v>
      </x:c>
    </x:row>
    <x:row r="15" ht="44" customHeight="1">
      <x:c r="A15" s="11" t="str">
        <x:v>P2</x:v>
      </x:c>
      <x:c r="B15" s="11" t="str">
        <x:v>Alt text</x:v>
      </x:c>
      <x:c r="C15" s="12" t="str">
        <x:v>Alt text: A six-slide checklist covers mood, language, samples, length and a backup choice.</x:v>
      </x:c>
    </x:row>
    <x:row r="16" ht="44" customHeight="1">
      <x:c r="A16" s="10" t="str">
        <x:v>P3</x:v>
      </x:c>
      <x:c r="B16" s="10" t="str">
        <x:v>Concept</x:v>
      </x:c>
      <x:c r="C16" s="12" t="str">
        <x:v>Read on a student budget - Day 8 carousel, 5 slides</x:v>
      </x:c>
    </x:row>
    <x:row r="17" ht="60" customHeight="1">
      <x:c r="A17" s="11" t="str">
        <x:v>P3</x:v>
      </x:c>
      <x:c r="B17" s="11" t="str">
        <x:v>Slide copy</x:v>
      </x:c>
      <x:c r="C17" s="12" t="str">
        <x:v>1: A reading habit can start without a shopping list. 2: Check your college or local library. 3: Swap a book with a friend. 4: Revisit a book you already own. 5: Make a wish list before buying.</x:v>
      </x:c>
    </x:row>
    <x:row r="18" ht="76" customHeight="1">
      <x:c r="A18" s="10" t="str">
        <x:v>P3</x:v>
      </x:c>
      <x:c r="B18" s="10" t="str">
        <x:v>Caption</x:v>
      </x:c>
      <x:c r="C18" s="12" t="str">
        <x:v>Working with a student budget? Start with what you can access: a library, a friend's bookshelf or a book you already own. A wish list can help you choose carefully when you are ready to buy. Availability varies by location. Save this post and share your favourite low-cost reading idea. #BookNest #StudentLife #ReadingOnABudget</x:v>
      </x:c>
    </x:row>
    <x:row r="19" ht="44" customHeight="1">
      <x:c r="A19" s="11" t="str">
        <x:v>P3</x:v>
      </x:c>
      <x:c r="B19" s="11" t="str">
        <x:v>Design</x:v>
      </x:c>
      <x:c r="C19" s="12" t="str">
        <x:v>Five simple text cards with original library, swap and notebook icons. Avoid discount or free-delivery claims.</x:v>
      </x:c>
    </x:row>
    <x:row r="20" ht="44" customHeight="1">
      <x:c r="A20" s="10" t="str">
        <x:v>P3</x:v>
      </x:c>
      <x:c r="B20" s="10" t="str">
        <x:v>Alt text</x:v>
      </x:c>
      <x:c r="C20" s="12" t="str">
        <x:v>Alt text: Five cards suggest libraries, book swaps, rereading and a wish list for budget-conscious readers.</x:v>
      </x:c>
    </x:row>
    <x:row r="21" ht="44" customHeight="1">
      <x:c r="A21" s="11" t="str">
        <x:v>P4</x:v>
      </x:c>
      <x:c r="B21" s="11" t="str">
        <x:v>Concept</x:v>
      </x:c>
      <x:c r="C21" s="12" t="str">
        <x:v>7-day reading challenge - Day 15 carousel, 5 slides</x:v>
      </x:c>
    </x:row>
    <x:row r="22" ht="60" customHeight="1">
      <x:c r="A22" s="10" t="str">
        <x:v>P4</x:v>
      </x:c>
      <x:c r="B22" s="10" t="str">
        <x:v>Slide copy</x:v>
      </x:c>
      <x:c r="C22" s="12" t="str">
        <x:v>1: Seven days. One gentle reading routine. 2: Choose any book you can access. 3: Pick a daily time and read for 10 minutes if it fits. 4: Note one thought after each session. 5: Missed a day? Continue when you can.</x:v>
      </x:c>
    </x:row>
    <x:row r="23" ht="76" customHeight="1">
      <x:c r="A23" s="11" t="str">
        <x:v>P4</x:v>
      </x:c>
      <x:c r="B23" s="11" t="str">
        <x:v>Caption</x:v>
      </x:c>
      <x:c r="C23" s="12" t="str">
        <x:v>Join a gentle 7-day reading challenge. Choose a book you can access, set aside 10 minutes when possible and write one thought after reading. There is no prize, purchase or pressure to finish. Comment START if you want to try, and save the steps. #BookNest #ReadingChallenge #ReadingHabit</x:v>
      </x:c>
    </x:row>
    <x:row r="24" ht="44" customHeight="1">
      <x:c r="A24" s="10" t="str">
        <x:v>P4</x:v>
      </x:c>
      <x:c r="B24" s="10" t="str">
        <x:v>Design</x:v>
      </x:c>
      <x:c r="C24" s="12" t="str">
        <x:v>Use a seven-box tracker on the final slide. Make all text readable on a phone.</x:v>
      </x:c>
    </x:row>
    <x:row r="25" ht="60" customHeight="1">
      <x:c r="A25" s="11" t="str">
        <x:v>P4</x:v>
      </x:c>
      <x:c r="B25" s="11" t="str">
        <x:v>Alt text</x:v>
      </x:c>
      <x:c r="C25" s="12" t="str">
        <x:v>Alt text: A reading challenge invites a short daily session and one reflection, with flexibility for missed days.</x:v>
      </x:c>
    </x:row>
    <x:row r="26" ht="44" customHeight="1">
      <x:c r="A26" s="10" t="str">
        <x:v>P5</x:v>
      </x:c>
      <x:c r="B26" s="10" t="str">
        <x:v>Concept</x:v>
      </x:c>
      <x:c r="C26" s="12" t="str">
        <x:v>A spoiler-free review - Day 22 carousel, 5 slides</x:v>
      </x:c>
    </x:row>
    <x:row r="27" ht="60" customHeight="1">
      <x:c r="A27" s="11" t="str">
        <x:v>P5</x:v>
      </x:c>
      <x:c r="B27" s="11" t="str">
        <x:v>Slide copy</x:v>
      </x:c>
      <x:c r="C27" s="12" t="str">
        <x:v>1: Tell us about a book without giving away the ending. 2: In one line: what is the setup? 3: How did it make you feel? 4: Who might enjoy it? 5: What stayed with you?</x:v>
      </x:c>
    </x:row>
    <x:row r="28" ht="76" customHeight="1">
      <x:c r="A28" s="10" t="str">
        <x:v>P5</x:v>
      </x:c>
      <x:c r="B28" s="10" t="str">
        <x:v>Caption</x:v>
      </x:c>
      <x:c r="C28" s="12" t="str">
        <x:v>A useful review can be short. Try this: The book begins with ___. It made me feel ___. I would suggest it to readers who enjoy ___. One idea that stayed with me was ___. Keep twists and endings out of your comment. Save the template for your next read. #BookNest #BookReview #ReadersOfInstagram</x:v>
      </x:c>
    </x:row>
    <x:row r="29" ht="44" customHeight="1">
      <x:c r="A29" s="11" t="str">
        <x:v>P5</x:v>
      </x:c>
      <x:c r="B29" s="11" t="str">
        <x:v>Design</x:v>
      </x:c>
      <x:c r="C29" s="12" t="str">
        <x:v>Create four fill-in prompts with generous whitespace. Use original text, not copyrighted quotations.</x:v>
      </x:c>
    </x:row>
    <x:row r="30" ht="60" customHeight="1">
      <x:c r="A30" s="10" t="str">
        <x:v>P5</x:v>
      </x:c>
      <x:c r="B30" s="10" t="str">
        <x:v>Alt text</x:v>
      </x:c>
      <x:c r="C30" s="12" t="str">
        <x:v>Alt text: A short review template asks for the setup, emotional response, reader fit and a takeaway without spoilers.</x:v>
      </x:c>
    </x:row>
    <x:row r="31" ht="44" customHeight="1">
      <x:c r="A31" s="11" t="str">
        <x:v>Blog</x:v>
      </x:c>
      <x:c r="B31" s="11" t="str">
        <x:v>Primary keyword</x:v>
      </x:c>
      <x:c r="C31" s="12" t="str">
        <x:v>how to choose a book to read</x:v>
      </x:c>
    </x:row>
    <x:row r="32" ht="44" customHeight="1">
      <x:c r="A32" s="10" t="str">
        <x:v>Blog</x:v>
      </x:c>
      <x:c r="B32" s="10" t="str">
        <x:v>Secondary ideas</x:v>
      </x:c>
      <x:c r="C32" s="12" t="str">
        <x:v>novels for beginners; books for beginner readers</x:v>
      </x:c>
    </x:row>
    <x:row r="33" ht="44" customHeight="1">
      <x:c r="A33" s="11" t="str">
        <x:v>Blog</x:v>
      </x:c>
      <x:c r="B33" s="11" t="str">
        <x:v>Slug</x:v>
      </x:c>
      <x:c r="C33" s="12" t="str">
        <x:v>/blog/how-to-choose-a-book-to-read</x:v>
      </x:c>
    </x:row>
    <x:row r="34" ht="44" customHeight="1">
      <x:c r="A34" s="10" t="str">
        <x:v>Blog</x:v>
      </x:c>
      <x:c r="B34" s="10" t="str">
        <x:v>SEO title</x:v>
      </x:c>
      <x:c r="C34" s="12" t="str">
        <x:v>How to Choose a Book to Read: A Simple Guide | BookNest</x:v>
      </x:c>
    </x:row>
    <x:row r="35" ht="60" customHeight="1">
      <x:c r="A35" s="11" t="str">
        <x:v>Blog</x:v>
      </x:c>
      <x:c r="B35" s="11" t="str">
        <x:v>Meta description</x:v>
      </x:c>
      <x:c r="C35" s="12" t="str">
        <x:v>Not sure what to read next? Use mood, language, length and a short sample to choose a book that fits your interests and your reading routine.</x:v>
      </x:c>
    </x:row>
    <x:row r="36" ht="44" customHeight="1">
      <x:c r="A36" s="10" t="str">
        <x:v>Blog</x:v>
      </x:c>
      <x:c r="B36" s="10" t="str">
        <x:v>Status</x:v>
      </x:c>
      <x:c r="C36" s="12" t="str">
        <x:v>Original draft. No live website, rankings or search-volume research.</x:v>
      </x:c>
    </x:row>
    <x:row r="37" ht="44" customHeight="1">
      <x:c r="A37" s="11" t="str">
        <x:v>Blog</x:v>
      </x:c>
      <x:c r="B37" s="11" t="str">
        <x:v>Internal link plan</x:v>
      </x:c>
      <x:c r="C37" s="12" t="str">
        <x:v>Link to planned beginner guide, format guide and review template only after those pages exist.</x:v>
      </x:c>
    </x:row>
    <x:row r="38" ht="92" customHeight="1">
      <x:c r="A38" s="10" t="str">
        <x:v>Blog</x:v>
      </x:c>
      <x:c r="B38" s="10" t="str">
        <x:v>How to Choose a Book to Read: A Simple Guide</x:v>
      </x:c>
      <x:c r="C38" s="12" t="str">
        <x:v>Choosing a book can feel harder than reading one. A long recommendation list gives you more options, but it may not tell you which book fits your interests today. You do not need to begin with the most famous title or finish every book you start. A useful first choice is one you are curious enough to open. Here is a practical way to narrow your options without turning reading into another assignment.</x:v>
      </x:c>
    </x:row>
    <x:row r="39" ht="108" customHeight="1">
      <x:c r="A39" s="11" t="str">
        <x:v>Blog</x:v>
      </x:c>
      <x:c r="B39" s="11" t="str">
        <x:v>1. Start with the experience you want</x:v>
      </x:c>
      <x:c r="C39" s="12" t="str">
        <x:v>Before looking for a title, ask what you want from the reading session. Do you want to get lost in a story, understand an unfamiliar subject or slow down after a busy day? Fiction may suit you when you want characters and a narrative. Nonfiction may suit you when you have a particular question. These are starting points, not rules. A personal essay can be absorbing, and a novel can give you something to think about. Write down one mood or question and use it to guide your search.</x:v>
      </x:c>
    </x:row>
    <x:row r="40" ht="108" customHeight="1">
      <x:c r="A40" s="10" t="str">
        <x:v>Blog</x:v>
      </x:c>
      <x:c r="B40" s="10" t="str">
        <x:v>2. Choose a language and style you enjoy</x:v>
      </x:c>
      <x:c r="C40" s="12" t="str">
        <x:v>Read in a language that lets you follow the ideas comfortably. If you are building confidence in a new language, try a short sample before committing to the whole book. Notice the sentence length, dialogue and vocabulary. Does the writing make you want to continue, or does it feel like work you do not want today? Translations can also open up stories you could not otherwise read. Check the edition and translator when comparing copies so you know which version you are considering.</x:v>
      </x:c>
    </x:row>
    <x:row r="41" ht="108" customHeight="1">
      <x:c r="A41" s="11" t="str">
        <x:v>Blog</x:v>
      </x:c>
      <x:c r="B41" s="11" t="str">
        <x:v>3. Match the book to your available time</x:v>
      </x:c>
      <x:c r="C41" s="12" t="str">
        <x:v>Think about where reading will fit into your week. A short novel, essay collection or book with brief chapters may be convenient for small breaks. A longer book can work too if its pace and subject interest you. Page count alone does not tell you how easy a book is to read. Look at a sample and ask whether you can follow it without rushing. If you only have a little time, choose a manageable first session rather than promising yourself a fixed number of pages every day.</x:v>
      </x:c>
    </x:row>
    <x:row r="42" ht="108" customHeight="1">
      <x:c r="A42" s="10" t="str">
        <x:v>Blog</x:v>
      </x:c>
      <x:c r="B42" s="10" t="str">
        <x:v>4. Read the blurb, then a sample</x:v>
      </x:c>
      <x:c r="C42" s="12" t="str">
        <x:v>The blurb gives you a starting idea of the subject or story. A sample helps you judge the actual reading experience. Try the opening pages through a library copy or a sample made available by an authorised seller or publisher. Look for a voice, question or scene that holds your attention. If a review helps you decide, prefer one that explains who the book might suit without revealing important plot turns. A high rating is one piece of information; it cannot tell you whether the book matches your taste.</x:v>
      </x:c>
    </x:row>
    <x:row r="43" ht="108" customHeight="1">
      <x:c r="A43" s="11" t="str">
        <x:v>Blog</x:v>
      </x:c>
      <x:c r="B43" s="11" t="str">
        <x:v>5. Decide how to access the book</x:v>
      </x:c>
      <x:c r="C43" s="12" t="str">
        <x:v>Check what you can access before buying. Your college library, a local library, a friend or your own bookshelf may already offer a suitable option. If you decide to purchase, compare the same edition, language and format. Check the total payable amount and the seller's stated delivery and return terms. A paperback may be easier for you to carry, while a hardcover may suit your preference for a sturdy copy. Choose the format that fits your use rather than assuming one is always better.</x:v>
      </x:c>
    </x:row>
    <x:row r="44" ht="92" customHeight="1">
      <x:c r="A44" s="10" t="str">
        <x:v>Blog</x:v>
      </x:c>
      <x:c r="B44" s="10" t="str">
        <x:v>6. Keep a small shortlist and give yourself room to change</x:v>
      </x:c>
      <x:c r="C44" s="12" t="str">
        <x:v>Pick one book to start and one backup. Keeping a shortlist small makes the next step clear: open the first book and try a reading session. Afterwards, ask whether you want to return to it. If the answer is no, you can pause it, choose the backup or come back another time. You are learning your preferences, not sitting an exam. A short note about what worked or did not work can make your next choice easier.</x:v>
      </x:c>
    </x:row>
    <x:row r="45" ht="76" customHeight="1">
      <x:c r="A45" s="11" t="str">
        <x:v>Blog</x:v>
      </x:c>
      <x:c r="B45" s="11" t="str">
        <x:v>A five-question checklist</x:v>
      </x:c>
      <x:c r="C45" s="12" t="str">
        <x:v>What am I in the mood for? Which language and writing style feel comfortable? Does the sample interest me? Can I fit this book into my week? Can I access the right edition within my budget? Keep these questions in a notebook or save them on your phone. The aim is a book you want to read, not a perfect decision.</x:v>
      </x:c>
    </x:row>
    <x:row r="46" ht="92" customHeight="1">
      <x:c r="A46" s="10" t="str">
        <x:v>Blog</x:v>
      </x:c>
      <x:c r="B46" s="10" t="str">
        <x:v>Your next step</x:v>
      </x:c>
      <x:c r="C46" s="12" t="str">
        <x:v>Choose one book you can access and try a short session today. Then write one sentence about what drew you in. BookNest is a fictional portfolio brand, and this guide is a sample of its proposed reader-focused content. If you use the guide on a real account, invite readers to share their selection process and record only the responses you actually receive.</x:v>
      </x:c>
    </x:row>
    <x:row r="47" ht="44" customHeight="1">
      <x:c r="A47" s="11" t="str">
        <x:v>E1</x:v>
      </x:c>
      <x:c r="B47" s="11" t="str">
        <x:v>Purpose</x:v>
      </x:c>
      <x:c r="C47" s="12" t="str">
        <x:v>Welcome email</x:v>
      </x:c>
    </x:row>
    <x:row r="48" ht="44" customHeight="1">
      <x:c r="A48" s="10" t="str">
        <x:v>E1</x:v>
      </x:c>
      <x:c r="B48" s="10" t="str">
        <x:v>Subject</x:v>
      </x:c>
      <x:c r="C48" s="12" t="str">
        <x:v>Thanks for joining the BookNest reading list</x:v>
      </x:c>
    </x:row>
    <x:row r="49" ht="44" customHeight="1">
      <x:c r="A49" s="11" t="str">
        <x:v>E1</x:v>
      </x:c>
      <x:c r="B49" s="11" t="str">
        <x:v>Preview text</x:v>
      </x:c>
      <x:c r="C49" s="12" t="str">
        <x:v>A small checklist to help you choose your next read.</x:v>
      </x:c>
    </x:row>
    <x:row r="50" ht="262" customHeight="1">
      <x:c r="A50" s="10" t="str">
        <x:v>E1</x:v>
      </x:c>
      <x:c r="B50" s="10" t="str">
        <x:v>Body</x:v>
      </x:c>
      <x:c r="C50" s="12" t="str">
        <x:v>Hi reader,
Welcome to the BookNest reading community. If you are unsure what to read next, start with three questions: What mood am I in? Which language feels comfortable? Does the opening sample interest me?
Choose one book you can access and try a short reading session. You can keep one backup if your first choice does not fit.
Read our guide: [published guide URL]
What usually helps you choose a book? Reply with one idea.
Happy reading,
The BookNest team</x:v>
      </x:c>
    </x:row>
    <x:row r="51" ht="44" customHeight="1">
      <x:c r="A51" s="11" t="str">
        <x:v>E1</x:v>
      </x:c>
      <x:c r="B51" s="11" t="str">
        <x:v>CTA</x:v>
      </x:c>
      <x:c r="C51" s="12" t="str">
        <x:v>Read the guide</x:v>
      </x:c>
    </x:row>
    <x:row r="52" ht="44" customHeight="1">
      <x:c r="A52" s="10" t="str">
        <x:v>E1</x:v>
      </x:c>
      <x:c r="B52" s="10" t="str">
        <x:v>Audience / timing</x:v>
      </x:c>
      <x:c r="C52" s="12" t="str">
        <x:v>Subscribed readers only; trigger after confirmed opt-in. Draft only, not sent.</x:v>
      </x:c>
    </x:row>
    <x:row r="53" ht="76" customHeight="1">
      <x:c r="A53" s="11" t="str">
        <x:v>E1</x:v>
      </x:c>
      <x:c r="B53" s="11" t="str">
        <x:v>Footer requirements</x:v>
      </x:c>
      <x:c r="C53" s="12" t="str">
        <x:v>Sample only. BookNest is fictional. Before any real send, replace links, sender identity and contact/postal details, add a working unsubscribe link and preference option, and send only to consenting subscribers. Do not collect addresses for this fictional draft.</x:v>
      </x:c>
    </x:row>
    <x:row r="54" ht="44" customHeight="1">
      <x:c r="A54" s="10" t="str">
        <x:v>E2</x:v>
      </x:c>
      <x:c r="B54" s="10" t="str">
        <x:v>Purpose</x:v>
      </x:c>
      <x:c r="C54" s="12" t="str">
        <x:v>Reading challenge invitation</x:v>
      </x:c>
    </x:row>
    <x:row r="55" ht="44" customHeight="1">
      <x:c r="A55" s="11" t="str">
        <x:v>E2</x:v>
      </x:c>
      <x:c r="B55" s="11" t="str">
        <x:v>Subject</x:v>
      </x:c>
      <x:c r="C55" s="12" t="str">
        <x:v>Try a gentle 7-day reading challenge</x:v>
      </x:c>
    </x:row>
    <x:row r="56" ht="44" customHeight="1">
      <x:c r="A56" s="10" t="str">
        <x:v>E2</x:v>
      </x:c>
      <x:c r="B56" s="10" t="str">
        <x:v>Preview text</x:v>
      </x:c>
      <x:c r="C56" s="12" t="str">
        <x:v>One book, a little time and one thought each day.</x:v>
      </x:c>
    </x:row>
    <x:row r="57" ht="318" customHeight="1">
      <x:c r="A57" s="11" t="str">
        <x:v>E2</x:v>
      </x:c>
      <x:c r="B57" s="11" t="str">
        <x:v>Body</x:v>
      </x:c>
      <x:c r="C57" s="12" t="str">
        <x:v>Hi reader,
Want to make a little room for reading this week? Try our gentle 7-day challenge.
1. Choose a book you already own, borrow or can otherwise access.
2. Pick a time to read for 10 minutes when it fits your day.
3. Write one thought after the session. If you miss a day, continue when you can.
There is no prize or purchase required. You decide your own pace.
See the challenge steps: [published challenge URL]
At the end of the week, reply with one thing you learned about your reading routine.
Happy reading,
The BookNest team</x:v>
      </x:c>
    </x:row>
    <x:row r="58" ht="44" customHeight="1">
      <x:c r="A58" s="10" t="str">
        <x:v>E2</x:v>
      </x:c>
      <x:c r="B58" s="10" t="str">
        <x:v>CTA</x:v>
      </x:c>
      <x:c r="C58" s="12" t="str">
        <x:v>See the challenge steps</x:v>
      </x:c>
    </x:row>
    <x:row r="59" ht="44" customHeight="1">
      <x:c r="A59" s="11" t="str">
        <x:v>E2</x:v>
      </x:c>
      <x:c r="B59" s="11" t="str">
        <x:v>Audience / timing</x:v>
      </x:c>
      <x:c r="C59" s="12" t="str">
        <x:v>Confirmed opt-in readers; send 7 days after welcome if relevant. Draft only, not sent.</x:v>
      </x:c>
    </x:row>
    <x:row r="60" ht="76" customHeight="1">
      <x:c r="A60" s="10" t="str">
        <x:v>E2</x:v>
      </x:c>
      <x:c r="B60" s="10" t="str">
        <x:v>Footer requirements</x:v>
      </x:c>
      <x:c r="C60" s="12" t="str">
        <x:v>Sample only. BookNest is fictional. Before any real send, replace links, sender identity and contact/postal details, add a working unsubscribe link and preference option, and send only to consenting subscribers. Do not collect addresses for this fictional draft.</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xSplit="1" ySplit="19" topLeftCell="B20" activePane="bottomRight" state="frozen"/>
    </x:sheetView>
  </x:sheetViews>
  <x:sheetFormatPr defaultRowHeight="15"/>
  <x:cols>
    <x:col min="1" max="1" width="24" hidden="0" customWidth="1"/>
    <x:col min="2" max="2" width="34" hidden="0" customWidth="1"/>
    <x:col min="3" max="3" width="36" hidden="0" customWidth="1"/>
    <x:col min="4" max="4" width="36" hidden="0" customWidth="1"/>
    <x:col min="5" max="5" width="100" hidden="0" customWidth="1"/>
    <x:col min="6" max="6" width="100" hidden="0" customWidth="1"/>
    <x:col min="7" max="7" width="24" hidden="0" customWidth="1"/>
    <x:col min="8" max="8" width="14" hidden="0" customWidth="1"/>
    <x:col min="9" max="9" width="14" hidden="0" customWidth="1"/>
    <x:col min="10" max="10" width="14" hidden="0" customWidth="1"/>
    <x:col min="11" max="11" width="14" hidden="0" customWidth="1"/>
    <x:col min="12" max="12" width="14" hidden="0" customWidth="1"/>
    <x:col min="13" max="13" width="22" hidden="0" customWidth="1"/>
    <x:col min="14" max="14" width="15" hidden="0" customWidth="1"/>
    <x:col min="15" max="15" width="15" hidden="0" customWidth="1"/>
    <x:col min="16" max="16" width="15" hidden="0" customWidth="1"/>
  </x:cols>
  <x:sheetData>
    <x:row r="1" ht="24" customHeight="1">
      <x:c r="A1" s="2"/>
      <x:c r="B1" s="2"/>
      <x:c r="C1" s="2"/>
      <x:c r="D1" s="2"/>
      <x:c r="E1" s="2"/>
      <x:c r="F1" s="2"/>
      <x:c r="G1" s="2"/>
      <x:c r="H1" s="2"/>
      <x:c r="I1" s="2"/>
      <x:c r="J1" s="2"/>
      <x:c r="K1" s="2"/>
      <x:c r="L1" s="2"/>
      <x:c r="M1" s="2"/>
      <x:c r="N1" s="2"/>
      <x:c r="O1" s="2"/>
      <x:c r="P1" s="2"/>
    </x:row>
    <x:row r="2" ht="24" customHeight="1">
      <x:c r="A2" s="3" t="str">
        <x:v>Google Ads offline simulation</x:v>
      </x:c>
      <x:c r="B2" s="2"/>
      <x:c r="C2" s="2"/>
      <x:c r="D2" s="2"/>
      <x:c r="E2" s="2"/>
      <x:c r="F2" s="2"/>
      <x:c r="G2" s="2"/>
      <x:c r="H2" s="2"/>
      <x:c r="I2" s="2"/>
      <x:c r="J2" s="2"/>
      <x:c r="K2" s="2"/>
      <x:c r="L2" s="2"/>
      <x:c r="M2" s="2"/>
      <x:c r="N2" s="2"/>
      <x:c r="O2" s="2"/>
      <x:c r="P2" s="2"/>
    </x:row>
    <x:row r="3" ht="24" customHeight="1">
      <x:c r="A3" s="4" t="str">
        <x:v>Actual spend INR 0. Proposed paid budget INR 0. No billing, launch, paid forecast or final URL.</x:v>
      </x:c>
      <x:c r="B3" s="2"/>
      <x:c r="C3" s="2"/>
      <x:c r="D3" s="2"/>
      <x:c r="E3" s="2"/>
      <x:c r="F3" s="2"/>
      <x:c r="G3" s="2"/>
      <x:c r="H3" s="2"/>
      <x:c r="I3" s="2"/>
      <x:c r="J3" s="2"/>
      <x:c r="K3" s="2"/>
      <x:c r="L3" s="2"/>
      <x:c r="M3" s="2"/>
      <x:c r="N3" s="2"/>
      <x:c r="O3" s="2"/>
      <x:c r="P3" s="2"/>
    </x:row>
    <x:row r="4" ht="24" customHeight="1">
      <x:c r="A4" s="2"/>
      <x:c r="B4" s="2"/>
      <x:c r="C4" s="2"/>
      <x:c r="D4" s="2"/>
      <x:c r="E4" s="2"/>
      <x:c r="F4" s="2"/>
      <x:c r="G4" s="2"/>
      <x:c r="H4" s="2"/>
      <x:c r="I4" s="2"/>
      <x:c r="J4" s="2"/>
      <x:c r="K4" s="2"/>
      <x:c r="L4" s="2"/>
      <x:c r="M4" s="2"/>
      <x:c r="N4" s="2"/>
      <x:c r="O4" s="2"/>
      <x:c r="P4" s="2"/>
    </x:row>
    <x:row r="5" ht="36" customHeight="1">
      <x:c r="A5" s="8" t="str">
        <x:v>Element</x:v>
      </x:c>
      <x:c r="B5" s="8" t="str">
        <x:v>Offline plan</x:v>
      </x:c>
      <x:c r="C5" s="2"/>
      <x:c r="D5" s="2"/>
      <x:c r="E5" s="2"/>
      <x:c r="F5" s="2"/>
      <x:c r="G5" s="2"/>
      <x:c r="H5" s="2"/>
      <x:c r="I5" s="2"/>
      <x:c r="J5" s="2"/>
      <x:c r="K5" s="2"/>
      <x:c r="L5" s="2"/>
      <x:c r="M5" s="2"/>
      <x:c r="N5" s="2"/>
      <x:c r="O5" s="2"/>
      <x:c r="P5" s="2"/>
    </x:row>
    <x:row r="6" ht="24" hidden="0" customHeight="1">
      <x:c r="A6" s="10" t="str">
        <x:v>Status</x:v>
      </x:c>
      <x:c r="B6" s="10" t="str">
        <x:v>Offline simulation only. Do not launch, connect billing, boost posts or enter payment details.</x:v>
      </x:c>
      <x:c r="C6" s="2"/>
      <x:c r="D6" s="2"/>
      <x:c r="E6" s="2"/>
      <x:c r="F6" s="2"/>
      <x:c r="G6" s="2"/>
      <x:c r="H6" s="2"/>
      <x:c r="I6" s="2"/>
      <x:c r="J6" s="2"/>
      <x:c r="K6" s="2"/>
      <x:c r="L6" s="2"/>
      <x:c r="M6" s="2"/>
      <x:c r="N6" s="2"/>
      <x:c r="O6" s="2"/>
      <x:c r="P6" s="2"/>
    </x:row>
    <x:row r="7" ht="36" hidden="0" customHeight="1">
      <x:c r="A7" s="11" t="str">
        <x:v>Objective</x:v>
      </x:c>
      <x:c r="B7" s="11" t="str">
        <x:v>Practise keyword grouping, ad writing, exclusions and landing-page alignment. No impressions or clicks bought.</x:v>
      </x:c>
      <x:c r="C7" s="2"/>
      <x:c r="D7" s="2"/>
      <x:c r="E7" s="2"/>
      <x:c r="F7" s="2"/>
      <x:c r="G7" s="2"/>
      <x:c r="H7" s="2"/>
      <x:c r="I7" s="2"/>
      <x:c r="J7" s="2"/>
      <x:c r="K7" s="2"/>
      <x:c r="L7" s="2"/>
      <x:c r="M7" s="2"/>
      <x:c r="N7" s="2"/>
      <x:c r="O7" s="2"/>
      <x:c r="P7" s="2"/>
    </x:row>
    <x:row r="8" ht="36" hidden="0" customHeight="1">
      <x:c r="A8" s="10" t="str">
        <x:v>Market hypothesis</x:v>
      </x:c>
      <x:c r="B8" s="10" t="str">
        <x:v>India; English copy. Student-focused reader interests are a creative assumption, not targeting evidence.</x:v>
      </x:c>
      <x:c r="C8" s="2"/>
      <x:c r="D8" s="2"/>
      <x:c r="E8" s="2"/>
      <x:c r="F8" s="2"/>
      <x:c r="G8" s="2"/>
      <x:c r="H8" s="2"/>
      <x:c r="I8" s="2"/>
      <x:c r="J8" s="2"/>
      <x:c r="K8" s="2"/>
      <x:c r="L8" s="2"/>
      <x:c r="M8" s="2"/>
      <x:c r="N8" s="2"/>
      <x:c r="O8" s="2"/>
      <x:c r="P8" s="2"/>
    </x:row>
    <x:row r="9" ht="24" hidden="0" customHeight="1">
      <x:c r="A9" s="11" t="str">
        <x:v>Budget</x:v>
      </x:c>
      <x:c r="B9" s="11" t="str">
        <x:v>Actual spend INR 0. Proposed paid budget INR 0. No CPC, traffic or conversion forecast.</x:v>
      </x:c>
      <x:c r="C9" s="2"/>
      <x:c r="D9" s="2"/>
      <x:c r="E9" s="2"/>
      <x:c r="F9" s="2"/>
      <x:c r="G9" s="2"/>
      <x:c r="H9" s="2"/>
      <x:c r="I9" s="2"/>
      <x:c r="J9" s="2"/>
      <x:c r="K9" s="2"/>
      <x:c r="L9" s="2"/>
      <x:c r="M9" s="2"/>
      <x:c r="N9" s="2"/>
      <x:c r="O9" s="2"/>
      <x:c r="P9" s="2"/>
    </x:row>
    <x:row r="10" ht="36" hidden="0" customHeight="1">
      <x:c r="A10" s="10" t="str">
        <x:v>Group A</x:v>
      </x:c>
      <x:c r="B10" s="10" t="str">
        <x:v>Book discovery: phrase-match ideas "book recommendations India" and "novels for beginners".</x:v>
      </x:c>
      <x:c r="C10" s="2"/>
      <x:c r="D10" s="2"/>
      <x:c r="E10" s="2"/>
      <x:c r="F10" s="2"/>
      <x:c r="G10" s="2"/>
      <x:c r="H10" s="2"/>
      <x:c r="I10" s="2"/>
      <x:c r="J10" s="2"/>
      <x:c r="K10" s="2"/>
      <x:c r="L10" s="2"/>
      <x:c r="M10" s="2"/>
      <x:c r="N10" s="2"/>
      <x:c r="O10" s="2"/>
      <x:c r="P10" s="2"/>
    </x:row>
    <x:row r="11" ht="36" hidden="0" customHeight="1">
      <x:c r="A11" s="11" t="str">
        <x:v>Group B</x:v>
      </x:c>
      <x:c r="B11" s="11" t="str">
        <x:v>Reading habits: phrase-match ideas "how to build a reading habit" and "reading challenge for beginners".</x:v>
      </x:c>
      <x:c r="C11" s="2"/>
      <x:c r="D11" s="2"/>
      <x:c r="E11" s="2"/>
      <x:c r="F11" s="2"/>
      <x:c r="G11" s="2"/>
      <x:c r="H11" s="2"/>
      <x:c r="I11" s="2"/>
      <x:c r="J11" s="2"/>
      <x:c r="K11" s="2"/>
      <x:c r="L11" s="2"/>
      <x:c r="M11" s="2"/>
      <x:c r="N11" s="2"/>
      <x:c r="O11" s="2"/>
      <x:c r="P11" s="2"/>
    </x:row>
    <x:row r="12" ht="36" hidden="0" customHeight="1">
      <x:c r="A12" s="10" t="str">
        <x:v>Exclusion ideas</x:v>
      </x:c>
      <x:c r="B12" s="10" t="str">
        <x:v>pirated; torrent; pdf download; jobs; wholesale. Review relevance before using any exclusion in a future authorised campaign.</x:v>
      </x:c>
      <x:c r="C12" s="2"/>
      <x:c r="D12" s="2"/>
      <x:c r="E12" s="2"/>
      <x:c r="F12" s="2"/>
      <x:c r="G12" s="2"/>
      <x:c r="H12" s="2"/>
      <x:c r="I12" s="2"/>
      <x:c r="J12" s="2"/>
      <x:c r="K12" s="2"/>
      <x:c r="L12" s="2"/>
      <x:c r="M12" s="2"/>
      <x:c r="N12" s="2"/>
      <x:c r="O12" s="2"/>
      <x:c r="P12" s="2"/>
    </x:row>
    <x:row r="13" ht="24" hidden="0" customHeight="1">
      <x:c r="A13" s="11" t="str">
        <x:v>Landing pages</x:v>
      </x:c>
      <x:c r="B13" s="11" t="str">
        <x:v>Planned beginner guide for A; planned reading challenge for B. Neither is live.</x:v>
      </x:c>
      <x:c r="C13" s="2"/>
      <x:c r="D13" s="2"/>
      <x:c r="E13" s="2"/>
      <x:c r="F13" s="2"/>
      <x:c r="G13" s="2"/>
      <x:c r="H13" s="2"/>
      <x:c r="I13" s="2"/>
      <x:c r="J13" s="2"/>
      <x:c r="K13" s="2"/>
      <x:c r="L13" s="2"/>
      <x:c r="M13" s="2"/>
      <x:c r="N13" s="2"/>
      <x:c r="O13" s="2"/>
      <x:c r="P13" s="2"/>
    </x:row>
    <x:row r="14" ht="36" hidden="0" customHeight="1">
      <x:c r="A14" s="10" t="str">
        <x:v>Measurement plan</x:v>
      </x:c>
      <x:c r="B14" s="10" t="str">
        <x:v>If later authorised separately, define destination, UTM tags and a meaningful event before launch. This portfolio does not authorise spending.</x:v>
      </x:c>
      <x:c r="C14" s="2"/>
      <x:c r="D14" s="2"/>
      <x:c r="E14" s="2"/>
      <x:c r="F14" s="2"/>
      <x:c r="G14" s="2"/>
      <x:c r="H14" s="2"/>
      <x:c r="I14" s="2"/>
      <x:c r="J14" s="2"/>
      <x:c r="K14" s="2"/>
      <x:c r="L14" s="2"/>
      <x:c r="M14" s="2"/>
      <x:c r="N14" s="2"/>
      <x:c r="O14" s="2"/>
      <x:c r="P14" s="2"/>
    </x:row>
    <x:row r="15" ht="48" hidden="0" customHeight="1">
      <x:c r="A15" s="11" t="str">
        <x:v>QA</x:v>
      </x:c>
      <x:c r="B15" s="11" t="str">
        <x:v>Check spelling, headline/description lengths, keyword relevance, truthful copy and working destination. Avoid price, stock and delivery promises.</x:v>
      </x:c>
      <x:c r="C15" s="2"/>
      <x:c r="D15" s="2"/>
      <x:c r="E15" s="2"/>
      <x:c r="F15" s="2"/>
      <x:c r="G15" s="2"/>
      <x:c r="H15" s="2"/>
      <x:c r="I15" s="2"/>
      <x:c r="J15" s="2"/>
      <x:c r="K15" s="2"/>
      <x:c r="L15" s="2"/>
      <x:c r="M15" s="2"/>
      <x:c r="N15" s="2"/>
      <x:c r="O15" s="2"/>
      <x:c r="P15" s="2"/>
    </x:row>
    <x:row r="16" ht="24" customHeight="1">
      <x:c r="A16" s="2"/>
      <x:c r="B16" s="2"/>
      <x:c r="C16" s="2"/>
      <x:c r="D16" s="2"/>
      <x:c r="E16" s="2"/>
      <x:c r="F16" s="2"/>
      <x:c r="G16" s="2"/>
      <x:c r="H16" s="2"/>
      <x:c r="I16" s="2"/>
      <x:c r="J16" s="2"/>
      <x:c r="K16" s="2"/>
      <x:c r="L16" s="2"/>
      <x:c r="M16" s="2"/>
      <x:c r="N16" s="2"/>
      <x:c r="O16" s="2"/>
      <x:c r="P16" s="2"/>
    </x:row>
    <x:row r="17" ht="24" customHeight="1">
      <x:c r="A17" s="14" t="str">
        <x:v>Sample ad copy and length checks</x:v>
      </x:c>
      <x:c r="B17" s="2"/>
      <x:c r="C17" s="2"/>
      <x:c r="D17" s="2"/>
      <x:c r="E17" s="2"/>
      <x:c r="F17" s="2"/>
      <x:c r="G17" s="2"/>
      <x:c r="H17" s="2"/>
      <x:c r="I17" s="2"/>
      <x:c r="J17" s="2"/>
      <x:c r="K17" s="2"/>
      <x:c r="L17" s="2"/>
      <x:c r="M17" s="2"/>
      <x:c r="N17" s="2"/>
      <x:c r="O17" s="2"/>
      <x:c r="P17" s="2"/>
    </x:row>
    <x:row r="18" ht="24" customHeight="1">
      <x:c r="A18" s="2"/>
      <x:c r="B18" s="2"/>
      <x:c r="C18" s="2"/>
      <x:c r="D18" s="2"/>
      <x:c r="E18" s="2"/>
      <x:c r="F18" s="2"/>
      <x:c r="G18" s="2"/>
      <x:c r="H18" s="2"/>
      <x:c r="I18" s="2"/>
      <x:c r="J18" s="2"/>
      <x:c r="K18" s="2"/>
      <x:c r="L18" s="2"/>
      <x:c r="M18" s="2"/>
      <x:c r="N18" s="2"/>
      <x:c r="O18" s="2"/>
      <x:c r="P18" s="2"/>
    </x:row>
    <x:row r="19" ht="36" customHeight="1">
      <x:c r="A19" s="8" t="str">
        <x:v>Group</x:v>
      </x:c>
      <x:c r="B19" s="8" t="str">
        <x:v>Headline 1</x:v>
      </x:c>
      <x:c r="C19" s="8" t="str">
        <x:v>Headline 2</x:v>
      </x:c>
      <x:c r="D19" s="8" t="str">
        <x:v>Headline 3</x:v>
      </x:c>
      <x:c r="E19" s="8" t="str">
        <x:v>Description 1</x:v>
      </x:c>
      <x:c r="F19" s="8" t="str">
        <x:v>Description 2</x:v>
      </x:c>
      <x:c r="G19" s="8" t="str">
        <x:v>Illustrative path</x:v>
      </x:c>
      <x:c r="H19" s="8" t="str">
        <x:v>H1 chars</x:v>
      </x:c>
      <x:c r="I19" s="8" t="str">
        <x:v>H2 chars</x:v>
      </x:c>
      <x:c r="J19" s="8" t="str">
        <x:v>H3 chars</x:v>
      </x:c>
      <x:c r="K19" s="8" t="str">
        <x:v>D1 chars</x:v>
      </x:c>
      <x:c r="L19" s="8" t="str">
        <x:v>D2 chars</x:v>
      </x:c>
      <x:c r="M19" s="8" t="str">
        <x:v>Length QA</x:v>
      </x:c>
      <x:c r="N19" s="2"/>
      <x:c r="O19" s="2"/>
      <x:c r="P19" s="2"/>
    </x:row>
    <x:row r="20" ht="106" customHeight="1">
      <x:c r="A20" s="10" t="str">
        <x:v>A</x:v>
      </x:c>
      <x:c r="B20" s="12" t="str">
        <x:v>Find Your Next Read</x:v>
      </x:c>
      <x:c r="C20" s="12" t="str">
        <x:v>Reading Ideas from BookNest</x:v>
      </x:c>
      <x:c r="D20" s="12" t="str">
        <x:v>Choose Books by Your Mood</x:v>
      </x:c>
      <x:c r="E20" s="12" t="str">
        <x:v>Use a simple guide to choose books by mood, language and the time you have.</x:v>
      </x:c>
      <x:c r="F20" s="12" t="str">
        <x:v>Explore reader-focused ideas. BookNest is a fictional portfolio brand.</x:v>
      </x:c>
      <x:c r="G20" s="12" t="str">
        <x:v>/reading/ideas</x:v>
      </x:c>
      <x:c r="H20" s="10" t="n">
        <x:f>LEN(B20)</x:f>
        <x:v>19</x:v>
      </x:c>
      <x:c r="I20" s="10" t="n">
        <x:f>LEN(C20)</x:f>
        <x:v>27</x:v>
      </x:c>
      <x:c r="J20" s="10" t="n">
        <x:f>LEN(D20)</x:f>
        <x:v>25</x:v>
      </x:c>
      <x:c r="K20" s="10" t="n">
        <x:f>LEN(E20)</x:f>
        <x:v>75</x:v>
      </x:c>
      <x:c r="L20" s="10" t="n">
        <x:f>LEN(F20)</x:f>
        <x:v>70</x:v>
      </x:c>
      <x:c r="M20" s="10" t="str">
        <x:f>IF(OR(B20="",C20="",D20="",E20="",F20=""),"Missing copy",IF(AND(H20&lt;=30,I20&lt;=30,J20&lt;=30,K20&lt;=90,L20&lt;=90),"Within limits","Revise"))</x:f>
        <x:v>Within limits</x:v>
      </x:c>
      <x:c r="N20" s="2"/>
      <x:c r="O20" s="2"/>
      <x:c r="P20" s="2"/>
    </x:row>
    <x:row r="21" ht="106" customHeight="1">
      <x:c r="A21" s="11" t="str">
        <x:v>B</x:v>
      </x:c>
      <x:c r="B21" s="12" t="str">
        <x:v>Build a Reading Habit</x:v>
      </x:c>
      <x:c r="C21" s="12" t="str">
        <x:v>Try a Gentle Reading Challenge</x:v>
      </x:c>
      <x:c r="D21" s="12" t="str">
        <x:v>Read at Your Own Pace</x:v>
      </x:c>
      <x:c r="E21" s="12" t="str">
        <x:v>Try a small reading routine with a book you can access. No purchase required.</x:v>
      </x:c>
      <x:c r="F21" s="12" t="str">
        <x:v>Choose a time, read a little and note one thought. Start whenever it suits you.</x:v>
      </x:c>
      <x:c r="G21" s="12" t="str">
        <x:v>/reading/habit</x:v>
      </x:c>
      <x:c r="H21" s="11" t="n">
        <x:f>LEN(B21)</x:f>
        <x:v>21</x:v>
      </x:c>
      <x:c r="I21" s="11" t="n">
        <x:f>LEN(C21)</x:f>
        <x:v>30</x:v>
      </x:c>
      <x:c r="J21" s="11" t="n">
        <x:f>LEN(D21)</x:f>
        <x:v>21</x:v>
      </x:c>
      <x:c r="K21" s="11" t="n">
        <x:f>LEN(E21)</x:f>
        <x:v>77</x:v>
      </x:c>
      <x:c r="L21" s="11" t="n">
        <x:f>LEN(F21)</x:f>
        <x:v>79</x:v>
      </x:c>
      <x:c r="M21" s="11" t="str">
        <x:f>IF(OR(B21="",C21="",D21="",E21="",F21=""),"Missing copy",IF(AND(H21&lt;=30,I21&lt;=30,J21&lt;=30,K21&lt;=90,L21&lt;=90),"Within limits","Revise"))</x:f>
        <x:v>Within limits</x:v>
      </x:c>
      <x:c r="N21" s="2"/>
      <x:c r="O21" s="2"/>
      <x:c r="P21" s="2"/>
    </x:row>
    <x:row r="22" ht="24" customHeight="1">
      <x:c r="A22" s="2"/>
      <x:c r="B22" s="2"/>
      <x:c r="C22" s="2"/>
      <x:c r="D22" s="2"/>
      <x:c r="E22" s="2"/>
      <x:c r="F22" s="2"/>
      <x:c r="G22" s="2"/>
      <x:c r="H22" s="2"/>
      <x:c r="I22" s="2"/>
      <x:c r="J22" s="2"/>
      <x:c r="K22" s="2"/>
      <x:c r="L22" s="2"/>
      <x:c r="M22" s="2"/>
      <x:c r="N22" s="2"/>
      <x:c r="O22" s="2"/>
      <x:c r="P22" s="2"/>
    </x:row>
    <x:row r="23" ht="24" customHeight="1">
      <x:c r="A23" s="2"/>
      <x:c r="B23" s="2"/>
      <x:c r="C23" s="2"/>
      <x:c r="D23" s="2"/>
      <x:c r="E23" s="2"/>
      <x:c r="F23" s="2"/>
      <x:c r="G23" s="2"/>
      <x:c r="H23" s="2"/>
      <x:c r="I23" s="2"/>
      <x:c r="J23" s="2"/>
      <x:c r="K23" s="2"/>
      <x:c r="L23" s="2"/>
      <x:c r="M23" s="2"/>
      <x:c r="N23" s="2"/>
      <x:c r="O23" s="2"/>
      <x:c r="P23" s="2"/>
    </x:row>
    <x:row r="24" ht="24" customHeight="1">
      <x:c r="A24" s="2"/>
      <x:c r="B24" s="2"/>
      <x:c r="C24" s="2"/>
      <x:c r="D24" s="2"/>
      <x:c r="E24" s="2"/>
      <x:c r="F24" s="2"/>
      <x:c r="G24" s="2"/>
      <x:c r="H24" s="2"/>
      <x:c r="I24" s="2"/>
      <x:c r="J24" s="2"/>
      <x:c r="K24" s="2"/>
      <x:c r="L24" s="2"/>
      <x:c r="M24" s="2"/>
      <x:c r="N24" s="2"/>
      <x:c r="O24" s="2"/>
      <x:c r="P24" s="2"/>
    </x:row>
    <x:row r="25" ht="24" customHeight="1">
      <x:c r="A25" s="2"/>
      <x:c r="B25" s="2"/>
      <x:c r="C25" s="2"/>
      <x:c r="D25" s="2"/>
      <x:c r="E25" s="2"/>
      <x:c r="F25" s="2"/>
      <x:c r="G25" s="2"/>
      <x:c r="H25" s="2"/>
      <x:c r="I25" s="2"/>
      <x:c r="J25" s="2"/>
      <x:c r="K25" s="2"/>
      <x:c r="L25" s="2"/>
      <x:c r="M25" s="2"/>
      <x:c r="N25" s="2"/>
      <x:c r="O25" s="2"/>
      <x:c r="P25" s="2"/>
    </x:row>
    <x:row r="26" ht="24" customHeight="1">
      <x:c r="A26" s="2"/>
      <x:c r="B26" s="2"/>
      <x:c r="C26" s="2"/>
      <x:c r="D26" s="2"/>
      <x:c r="E26" s="2"/>
      <x:c r="F26" s="2"/>
      <x:c r="G26" s="2"/>
      <x:c r="H26" s="2"/>
      <x:c r="I26" s="2"/>
      <x:c r="J26" s="2"/>
      <x:c r="K26" s="2"/>
      <x:c r="L26" s="2"/>
      <x:c r="M26" s="2"/>
      <x:c r="N26" s="2"/>
      <x:c r="O26" s="2"/>
      <x:c r="P26" s="2"/>
    </x:row>
    <x:row r="27" ht="24" customHeight="1">
      <x:c r="A27" s="2"/>
      <x:c r="B27" s="2"/>
      <x:c r="C27" s="2"/>
      <x:c r="D27" s="2"/>
      <x:c r="E27" s="2"/>
      <x:c r="F27" s="2"/>
      <x:c r="G27" s="2"/>
      <x:c r="H27" s="2"/>
      <x:c r="I27" s="2"/>
      <x:c r="J27" s="2"/>
      <x:c r="K27" s="2"/>
      <x:c r="L27" s="2"/>
      <x:c r="M27" s="2"/>
      <x:c r="N27" s="2"/>
      <x:c r="O27" s="2"/>
      <x:c r="P27" s="2"/>
    </x:row>
    <x:row r="28" ht="24" customHeight="1">
      <x:c r="A28" s="2"/>
      <x:c r="B28" s="2"/>
      <x:c r="C28" s="2"/>
      <x:c r="D28" s="2"/>
      <x:c r="E28" s="2"/>
      <x:c r="F28" s="2"/>
      <x:c r="G28" s="2"/>
      <x:c r="H28" s="2"/>
      <x:c r="I28" s="2"/>
      <x:c r="J28" s="2"/>
      <x:c r="K28" s="2"/>
      <x:c r="L28" s="2"/>
      <x:c r="M28" s="2"/>
      <x:c r="N28" s="2"/>
      <x:c r="O28" s="2"/>
      <x:c r="P28" s="2"/>
    </x:row>
  </x:sheetData>
  <x:conditionalFormatting sqref="M20:M21">
    <x:cfRule type="containsText" dxfId="0" priority="1" operator="containsText" text="Revise"/>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9" hidden="0" customWidth="1"/>
    <x:col min="2" max="2" width="80" hidden="0" customWidth="1"/>
    <x:col min="3" max="3" width="70" hidden="0" customWidth="1"/>
    <x:col min="4" max="4" width="20" hidden="0" customWidth="1"/>
    <x:col min="5" max="5" width="48" hidden="0" customWidth="1"/>
    <x:col min="6" max="6" width="20" hidden="0" customWidth="1"/>
  </x:cols>
  <x:sheetData>
    <x:row r="1" ht="24" customHeight="1">
      <x:c r="A1" s="2"/>
      <x:c r="B1" s="2"/>
      <x:c r="C1" s="2"/>
      <x:c r="D1" s="2"/>
      <x:c r="E1" s="2"/>
      <x:c r="F1" s="2"/>
    </x:row>
    <x:row r="2" ht="24" customHeight="1">
      <x:c r="A2" s="3" t="str">
        <x:v>Practical execution checklist</x:v>
      </x:c>
      <x:c r="B2" s="2"/>
      <x:c r="C2" s="2"/>
      <x:c r="D2" s="2"/>
      <x:c r="E2" s="2"/>
      <x:c r="F2" s="2"/>
    </x:row>
    <x:row r="3" ht="24" customHeight="1">
      <x:c r="A3" s="4" t="str">
        <x:v>Planning assets delivered. Execution remains open. Record evidence before setting a task to Done.</x:v>
      </x:c>
      <x:c r="B3" s="2"/>
      <x:c r="C3" s="2"/>
      <x:c r="D3" s="2"/>
      <x:c r="E3" s="2"/>
      <x:c r="F3" s="2"/>
    </x:row>
    <x:row r="4" ht="24" customHeight="1">
      <x:c r="A4" s="2"/>
      <x:c r="B4" s="2"/>
      <x:c r="C4" s="2"/>
      <x:c r="D4" s="2"/>
      <x:c r="E4" s="2"/>
      <x:c r="F4" s="2"/>
    </x:row>
    <x:row r="5" ht="36" customHeight="1">
      <x:c r="A5" s="8" t="str">
        <x:v>Step</x:v>
      </x:c>
      <x:c r="B5" s="8" t="str">
        <x:v>Action</x:v>
      </x:c>
      <x:c r="C5" s="8" t="str">
        <x:v>Evidence required</x:v>
      </x:c>
      <x:c r="D5" s="8" t="str">
        <x:v>Status</x:v>
      </x:c>
      <x:c r="E5" s="8" t="str">
        <x:v>Evidence link / note</x:v>
      </x:c>
      <x:c r="F5" s="8" t="str">
        <x:v>Completed date</x:v>
      </x:c>
    </x:row>
    <x:row r="6" ht="76" customHeight="1">
      <x:c r="A6" s="10" t="str">
        <x:v>1</x:v>
      </x:c>
      <x:c r="B6" s="10" t="str">
        <x:v>Review every asset and explain each choice in your own words</x:v>
      </x:c>
      <x:c r="C6" s="10" t="str">
        <x:v>Annotated portfolio and notes</x:v>
      </x:c>
      <x:c r="D6" s="12" t="str">
        <x:v>Not started</x:v>
      </x:c>
      <x:c r="E6" s="12" t="str"/>
      <x:c r="F6" s="13"/>
    </x:row>
    <x:row r="7" ht="76" customHeight="1">
      <x:c r="A7" s="11" t="str">
        <x:v>2</x:v>
      </x:c>
      <x:c r="B7" s="11" t="str">
        <x:v>Record three voluntary reader conversations without personal identifiers</x:v>
      </x:c>
      <x:c r="C7" s="11" t="str">
        <x:v>Three dated notes; label audience conclusions as tentative</x:v>
      </x:c>
      <x:c r="D7" s="12" t="str">
        <x:v>Not started</x:v>
      </x:c>
      <x:c r="E7" s="12" t="str"/>
      <x:c r="F7" s="13"/>
    </x:row>
    <x:row r="8" ht="76" customHeight="1">
      <x:c r="A8" s="10" t="str">
        <x:v>3</x:v>
      </x:c>
      <x:c r="B8" s="10" t="str">
        <x:v>Complete competitor evidence rows for identical tasks</x:v>
      </x:c>
      <x:c r="C8" s="10" t="str">
        <x:v>URLs, observation dates and screenshots; leave unknowns blank</x:v>
      </x:c>
      <x:c r="D8" s="12" t="str">
        <x:v>In progress</x:v>
      </x:c>
      <x:c r="E8" s="12" t="str">
        <x:v>CW1-CW2 and SP1-SP2 observed; Amazon unassessed. Original research tasks remain open.</x:v>
      </x:c>
      <x:c r="F8" s="13"/>
    </x:row>
    <x:row r="9" ht="76" customHeight="1">
      <x:c r="A9" s="11" t="str">
        <x:v>4</x:v>
      </x:c>
      <x:c r="B9" s="11" t="str">
        <x:v>Validate keyword ideas using search suggestions and result-page review</x:v>
      </x:c>
      <x:c r="C9" s="11" t="str">
        <x:v>Query, date and observed intent; no invented volume</x:v>
      </x:c>
      <x:c r="D9" s="12" t="str">
        <x:v>Not started</x:v>
      </x:c>
      <x:c r="E9" s="12" t="str"/>
      <x:c r="F9" s="13"/>
    </x:row>
    <x:row r="10" ht="76" customHeight="1">
      <x:c r="A10" s="10" t="str">
        <x:v>5</x:v>
      </x:c>
      <x:c r="B10" s="10" t="str">
        <x:v>Build five post designs using original elements and free features</x:v>
      </x:c>
      <x:c r="C10" s="10" t="str">
        <x:v>Five exports, captions and alt text</x:v>
      </x:c>
      <x:c r="D10" s="12" t="str">
        <x:v>Done</x:v>
      </x:c>
      <x:c r="E10" s="12" t="str">
        <x:v>Creative Kit: 26 PNG slides, editable SVGs, captions and alt text.</x:v>
      </x:c>
      <x:c r="F10" s="13" t="d">
        <x:v>2026-10-17T00:00:00.000Z</x:v>
      </x:c>
    </x:row>
    <x:row r="11" ht="76" customHeight="1">
      <x:c r="A11" s="11" t="str">
        <x:v>6</x:v>
      </x:c>
      <x:c r="B11" s="11" t="str">
        <x:v>Proofread the blog and add real internal links only if pages exist</x:v>
      </x:c>
      <x:c r="C11" s="11" t="str">
        <x:v>Final draft and live URL if published</x:v>
      </x:c>
      <x:c r="D11" s="12" t="str">
        <x:v>Not started</x:v>
      </x:c>
      <x:c r="E11" s="12" t="str"/>
      <x:c r="F11" s="13"/>
    </x:row>
    <x:row r="12" ht="76" customHeight="1">
      <x:c r="A12" s="10" t="str">
        <x:v>7</x:v>
      </x:c>
      <x:c r="B12" s="10" t="str">
        <x:v>Optional: open a clearly labeled portfolio Instagram account</x:v>
      </x:c>
      <x:c r="C12" s="10" t="str">
        <x:v>Public bio states fictional project; no purchase or stock claims</x:v>
      </x:c>
      <x:c r="D12" s="12" t="str">
        <x:v>Not started</x:v>
      </x:c>
      <x:c r="E12" s="12" t="str"/>
      <x:c r="F12" s="13"/>
    </x:row>
    <x:row r="13" ht="76" customHeight="1">
      <x:c r="A13" s="11" t="str">
        <x:v>8</x:v>
      </x:c>
      <x:c r="B13" s="11" t="str">
        <x:v>Schedule manually and record actual post IDs/URLs</x:v>
      </x:c>
      <x:c r="C13" s="11" t="str">
        <x:v>Publish log with time, format and caption version</x:v>
      </x:c>
      <x:c r="D13" s="12" t="str">
        <x:v>Not started</x:v>
      </x:c>
      <x:c r="E13" s="12" t="str"/>
      <x:c r="F13" s="13"/>
    </x:row>
    <x:row r="14" ht="76" customHeight="1">
      <x:c r="A14" s="10" t="str">
        <x:v>9</x:v>
      </x:c>
      <x:c r="B14" s="10" t="str">
        <x:v>Keep email and ads offline unless a legitimate separate use is arranged</x:v>
      </x:c>
      <x:c r="C14" s="10" t="str">
        <x:v>Drafts and copy QA; payment and billing untouched</x:v>
      </x:c>
      <x:c r="D14" s="12" t="str">
        <x:v>Not started</x:v>
      </x:c>
      <x:c r="E14" s="12" t="str"/>
      <x:c r="F14" s="13"/>
    </x:row>
    <x:row r="15" ht="76" customHeight="1">
      <x:c r="A15" s="11" t="str">
        <x:v>10</x:v>
      </x:c>
      <x:c r="B15" s="11" t="str">
        <x:v>Collect post metrics at the same age, such as 7 days after posting</x:v>
      </x:c>
      <x:c r="C15" s="11" t="str">
        <x:v>Dated native analytics screenshots if available</x:v>
      </x:c>
      <x:c r="D15" s="12" t="str">
        <x:v>Not started</x:v>
      </x:c>
      <x:c r="E15" s="12" t="str"/>
      <x:c r="F15" s="13"/>
    </x:row>
    <x:row r="16" ht="76" customHeight="1">
      <x:c r="A16" s="10" t="str">
        <x:v>11</x:v>
      </x:c>
      <x:c r="B16" s="10" t="str">
        <x:v>Replace example dashboard inputs with a separate actuals copy</x:v>
      </x:c>
      <x:c r="C16" s="10" t="str">
        <x:v>Keep example file as reference; mark period and source explicitly</x:v>
      </x:c>
      <x:c r="D16" s="12" t="str">
        <x:v>Not started</x:v>
      </x:c>
      <x:c r="E16" s="12" t="str"/>
      <x:c r="F16" s="13"/>
    </x:row>
    <x:row r="17" ht="76" customHeight="1">
      <x:c r="A17" s="11" t="str">
        <x:v>12</x:v>
      </x:c>
      <x:c r="B17" s="11" t="str">
        <x:v>Write a reflection and use evidence-based CV claims</x:v>
      </x:c>
      <x:c r="C17" s="11" t="str">
        <x:v>Describe created assets; only add outcomes you can substantiate</x:v>
      </x:c>
      <x:c r="D17" s="12" t="str">
        <x:v>Not started</x:v>
      </x:c>
      <x:c r="E17" s="12" t="str"/>
      <x:c r="F17" s="13"/>
    </x:row>
  </x:sheetData>
  <x:dataValidations count="1">
    <x:dataValidation type="list" sqref="D6:D17">
      <x:formula1>"Not started,In progress,Done"</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pane ySplit="12" topLeftCell="A13" activePane="bottomLeft" state="frozen"/>
    </x:sheetView>
  </x:sheetViews>
  <x:sheetFormatPr defaultRowHeight="15"/>
  <x:cols>
    <x:col min="1" max="1" width="26" hidden="0" customWidth="1"/>
    <x:col min="2" max="2" width="42" hidden="0" customWidth="1"/>
    <x:col min="3" max="3" width="42" hidden="0" customWidth="1"/>
    <x:col min="4" max="4" width="35" hidden="0" customWidth="1"/>
    <x:col min="5" max="5" width="35"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s>
  <x:sheetData>
    <x:row r="1">
      <x:c r="A1" s="10"/>
      <x:c r="B1" s="10"/>
      <x:c r="C1" s="10"/>
      <x:c r="D1" s="10"/>
      <x:c r="E1" s="10"/>
      <x:c r="F1" s="10"/>
      <x:c r="G1" s="10"/>
      <x:c r="H1" s="10"/>
      <x:c r="I1" s="10"/>
      <x:c r="J1" s="10"/>
      <x:c r="K1" s="10"/>
      <x:c r="L1" s="10"/>
    </x:row>
    <x:row r="2">
      <x:c r="A2" s="31" t="str">
        <x:v>Organic pilot and real measurement</x:v>
      </x:c>
      <x:c r="B2" s="10"/>
      <x:c r="C2" s="10"/>
      <x:c r="D2" s="10"/>
      <x:c r="E2" s="10"/>
      <x:c r="F2" s="10"/>
      <x:c r="G2" s="10"/>
      <x:c r="H2" s="10"/>
      <x:c r="I2" s="10"/>
      <x:c r="J2" s="10"/>
      <x:c r="K2" s="10"/>
      <x:c r="L2" s="10"/>
    </x:row>
    <x:row r="3">
      <x:c r="A3" s="10" t="str">
        <x:v>NOT STARTED. No actual results entered. All publishing is optional and costs INR 0.</x:v>
      </x:c>
      <x:c r="B3" s="10"/>
      <x:c r="C3" s="10"/>
      <x:c r="D3" s="10"/>
      <x:c r="E3" s="10"/>
      <x:c r="F3" s="10"/>
      <x:c r="G3" s="10"/>
      <x:c r="H3" s="10"/>
      <x:c r="I3" s="10"/>
      <x:c r="J3" s="10"/>
      <x:c r="K3" s="10"/>
      <x:c r="L3" s="10"/>
    </x:row>
    <x:row r="4">
      <x:c r="A4" s="10"/>
      <x:c r="B4" s="10"/>
      <x:c r="C4" s="10"/>
      <x:c r="D4" s="10"/>
      <x:c r="E4" s="10"/>
      <x:c r="F4" s="10"/>
      <x:c r="G4" s="10"/>
      <x:c r="H4" s="10"/>
      <x:c r="I4" s="10"/>
      <x:c r="J4" s="10"/>
      <x:c r="K4" s="10"/>
      <x:c r="L4" s="10"/>
    </x:row>
    <x:row r="5" ht="42" customHeight="1">
      <x:c r="A5" s="33" t="str">
        <x:v>Test</x:v>
      </x:c>
      <x:c r="B5" s="33" t="str">
        <x:v>Hypothesis</x:v>
      </x:c>
      <x:c r="C5" s="33" t="str">
        <x:v>Version A</x:v>
      </x:c>
      <x:c r="D5" s="33" t="str">
        <x:v>Version B</x:v>
      </x:c>
      <x:c r="E5" s="33" t="str">
        <x:v>Keep consistent</x:v>
      </x:c>
      <x:c r="F5" s="33" t="str">
        <x:v>Readout rule</x:v>
      </x:c>
      <x:c r="G5" s="10"/>
      <x:c r="H5" s="10"/>
      <x:c r="I5" s="10"/>
      <x:c r="J5" s="10"/>
      <x:c r="K5" s="10"/>
      <x:c r="L5" s="10"/>
    </x:row>
    <x:row r="6" ht="130" customHeight="1">
      <x:c r="A6" s="10" t="str">
        <x:v>Hook wording</x:v>
      </x:c>
      <x:c r="B6" s="10" t="str">
        <x:v>A specific question may attract more saves.</x:v>
      </x:c>
      <x:c r="C6" s="10" t="str">
        <x:v>Too many books, no idea where to start?</x:v>
      </x:c>
      <x:c r="D6" s="10" t="str">
        <x:v>Choose your next read in five questions.</x:v>
      </x:c>
      <x:c r="E6" s="10" t="str">
        <x:v>Same format, body, CTA and measurement age. Alternate across 3 matched pairs.</x:v>
      </x:c>
      <x:c r="F6" s="10" t="str">
        <x:v>Saves / reach after 7 days; inspect each pair. Small organic samples are descriptive, not causal proof.</x:v>
      </x:c>
      <x:c r="G6" s="10"/>
      <x:c r="H6" s="10"/>
      <x:c r="I6" s="10"/>
      <x:c r="J6" s="10"/>
      <x:c r="K6" s="10"/>
      <x:c r="L6" s="10"/>
    </x:row>
    <x:row r="7" ht="130" customHeight="1">
      <x:c r="A7" s="10" t="str">
        <x:v>CTA wording</x:v>
      </x:c>
      <x:c r="B7" s="10" t="str">
        <x:v>An explicit saving prompt may encourage useful revisits.</x:v>
      </x:c>
      <x:c r="C7" s="10" t="str">
        <x:v>Save this checklist for later.</x:v>
      </x:c>
      <x:c r="D7" s="10" t="str">
        <x:v>What helps you choose?</x:v>
      </x:c>
      <x:c r="E7" s="10" t="str">
        <x:v>Same hook, body and design; rotate day/time order.</x:v>
      </x:c>
      <x:c r="F7" s="10" t="str">
        <x:v>Saves / reach primary; comments / reach secondary. Compare 3 pairs; do not cherry-pick winners.</x:v>
      </x:c>
      <x:c r="G7" s="10"/>
      <x:c r="H7" s="10"/>
      <x:c r="I7" s="10"/>
      <x:c r="J7" s="10"/>
      <x:c r="K7" s="10"/>
      <x:c r="L7" s="10"/>
    </x:row>
    <x:row r="8" ht="130" customHeight="1">
      <x:c r="A8" s="10" t="str">
        <x:v>Next decision</x:v>
      </x:c>
      <x:c r="B8" s="10" t="str">
        <x:v>Record one learning, including an inconclusive result.</x:v>
      </x:c>
      <x:c r="C8" s="10" t="str">
        <x:v>If repeated direction: test again on another topic.</x:v>
      </x:c>
      <x:c r="D8" s="10" t="str">
        <x:v>If mixed or low reach: gather more observations.</x:v>
      </x:c>
      <x:c r="E8" s="10" t="str">
        <x:v>Avoid promotions or format changes during each comparison.</x:v>
      </x:c>
      <x:c r="F8" s="10" t="str">
        <x:v>No guaranteed lift, conversion forecast or statistical significance claim.</x:v>
      </x:c>
      <x:c r="G8" s="10"/>
      <x:c r="H8" s="10"/>
      <x:c r="I8" s="10"/>
      <x:c r="J8" s="10"/>
      <x:c r="K8" s="10"/>
      <x:c r="L8" s="10"/>
    </x:row>
    <x:row r="9">
      <x:c r="A9" s="10"/>
      <x:c r="B9" s="10"/>
      <x:c r="C9" s="10"/>
      <x:c r="D9" s="10"/>
      <x:c r="E9" s="10"/>
      <x:c r="F9" s="10"/>
      <x:c r="G9" s="10"/>
      <x:c r="H9" s="10"/>
      <x:c r="I9" s="10"/>
      <x:c r="J9" s="10"/>
      <x:c r="K9" s="10"/>
      <x:c r="L9" s="10"/>
    </x:row>
    <x:row r="10">
      <x:c r="A10" s="10" t="str">
        <x:v>Actual feed-post log - leave blank until measured at a consistent 7-day post age</x:v>
      </x:c>
      <x:c r="B10" s="10"/>
      <x:c r="C10" s="10"/>
      <x:c r="D10" s="10"/>
      <x:c r="E10" s="10"/>
      <x:c r="F10" s="10"/>
      <x:c r="G10" s="10"/>
      <x:c r="H10" s="10"/>
      <x:c r="I10" s="10"/>
      <x:c r="J10" s="10"/>
      <x:c r="K10" s="10"/>
      <x:c r="L10" s="10"/>
    </x:row>
    <x:row r="11">
      <x:c r="A11" s="10"/>
      <x:c r="B11" s="10"/>
      <x:c r="C11" s="10"/>
      <x:c r="D11" s="10"/>
      <x:c r="E11" s="10"/>
      <x:c r="F11" s="10"/>
      <x:c r="G11" s="10"/>
      <x:c r="H11" s="10"/>
      <x:c r="I11" s="10"/>
      <x:c r="J11" s="10"/>
      <x:c r="K11" s="10"/>
      <x:c r="L11" s="10"/>
    </x:row>
    <x:row r="12" ht="42" customHeight="1">
      <x:c r="A12" s="33" t="str">
        <x:v>Post ID / URL</x:v>
      </x:c>
      <x:c r="B12" s="33" t="str">
        <x:v>Published timestamp IST</x:v>
      </x:c>
      <x:c r="C12" s="33" t="str">
        <x:v>Captured timestamp IST</x:v>
      </x:c>
      <x:c r="D12" s="33" t="str">
        <x:v>Test / version</x:v>
      </x:c>
      <x:c r="E12" s="33" t="str">
        <x:v>Reach</x:v>
      </x:c>
      <x:c r="F12" s="33" t="str">
        <x:v>Likes</x:v>
      </x:c>
      <x:c r="G12" s="33" t="str">
        <x:v>Comments</x:v>
      </x:c>
      <x:c r="H12" s="33" t="str">
        <x:v>Shares</x:v>
      </x:c>
      <x:c r="I12" s="33" t="str">
        <x:v>Saves</x:v>
      </x:c>
      <x:c r="J12" s="33" t="str">
        <x:v>Interactions</x:v>
      </x:c>
      <x:c r="K12" s="33" t="str">
        <x:v>Interaction rate</x:v>
      </x:c>
      <x:c r="L12" s="33" t="str">
        <x:v>Saves / reach</x:v>
      </x:c>
    </x:row>
    <x:row r="13" ht="54" customHeight="1">
      <x:c r="A13" s="34"/>
      <x:c r="B13" s="35"/>
      <x:c r="C13" s="35"/>
      <x:c r="D13" s="34"/>
      <x:c r="E13" s="34"/>
      <x:c r="F13" s="34"/>
      <x:c r="G13" s="34"/>
      <x:c r="H13" s="34"/>
      <x:c r="I13" s="34"/>
      <x:c r="J13" s="10" t="str">
        <x:f>IF(COUNT(F13:I13)&lt;4,"Not measured",SUM(F13:I13))</x:f>
        <x:v>Not measured</x:v>
      </x:c>
      <x:c r="K13" s="18" t="str">
        <x:f>IF(OR(COUNT(E13)&lt;1,COUNT(J13)&lt;1),"Not measured",IF(E13=0,"n.a.",J13/E13))</x:f>
        <x:v>Not measured</x:v>
      </x:c>
      <x:c r="L13" s="18" t="str">
        <x:f>IF(COUNT(E13,I13)&lt;2,"Not measured",IF(E13=0,"n.a.",I13/E13))</x:f>
        <x:v>Not measured</x:v>
      </x:c>
    </x:row>
    <x:row r="14" ht="54" customHeight="1">
      <x:c r="A14" s="34"/>
      <x:c r="B14" s="35"/>
      <x:c r="C14" s="35"/>
      <x:c r="D14" s="34"/>
      <x:c r="E14" s="34"/>
      <x:c r="F14" s="34"/>
      <x:c r="G14" s="34"/>
      <x:c r="H14" s="34"/>
      <x:c r="I14" s="34"/>
      <x:c r="J14" s="10" t="str">
        <x:f>IF(COUNT(F14:I14)&lt;4,"Not measured",SUM(F14:I14))</x:f>
        <x:v>Not measured</x:v>
      </x:c>
      <x:c r="K14" s="18" t="str">
        <x:f>IF(OR(COUNT(E14)&lt;1,COUNT(J14)&lt;1),"Not measured",IF(E14=0,"n.a.",J14/E14))</x:f>
        <x:v>Not measured</x:v>
      </x:c>
      <x:c r="L14" s="18" t="str">
        <x:f>IF(COUNT(E14,I14)&lt;2,"Not measured",IF(E14=0,"n.a.",I14/E14))</x:f>
        <x:v>Not measured</x:v>
      </x:c>
    </x:row>
    <x:row r="15" ht="54" customHeight="1">
      <x:c r="A15" s="34"/>
      <x:c r="B15" s="35"/>
      <x:c r="C15" s="35"/>
      <x:c r="D15" s="34"/>
      <x:c r="E15" s="34"/>
      <x:c r="F15" s="34"/>
      <x:c r="G15" s="34"/>
      <x:c r="H15" s="34"/>
      <x:c r="I15" s="34"/>
      <x:c r="J15" s="10" t="str">
        <x:f>IF(COUNT(F15:I15)&lt;4,"Not measured",SUM(F15:I15))</x:f>
        <x:v>Not measured</x:v>
      </x:c>
      <x:c r="K15" s="18" t="str">
        <x:f>IF(OR(COUNT(E15)&lt;1,COUNT(J15)&lt;1),"Not measured",IF(E15=0,"n.a.",J15/E15))</x:f>
        <x:v>Not measured</x:v>
      </x:c>
      <x:c r="L15" s="18" t="str">
        <x:f>IF(COUNT(E15,I15)&lt;2,"Not measured",IF(E15=0,"n.a.",I15/E15))</x:f>
        <x:v>Not measured</x:v>
      </x:c>
    </x:row>
    <x:row r="16" ht="54" customHeight="1">
      <x:c r="A16" s="34"/>
      <x:c r="B16" s="35"/>
      <x:c r="C16" s="35"/>
      <x:c r="D16" s="34"/>
      <x:c r="E16" s="34"/>
      <x:c r="F16" s="34"/>
      <x:c r="G16" s="34"/>
      <x:c r="H16" s="34"/>
      <x:c r="I16" s="34"/>
      <x:c r="J16" s="10" t="str">
        <x:f>IF(COUNT(F16:I16)&lt;4,"Not measured",SUM(F16:I16))</x:f>
        <x:v>Not measured</x:v>
      </x:c>
      <x:c r="K16" s="18" t="str">
        <x:f>IF(OR(COUNT(E16)&lt;1,COUNT(J16)&lt;1),"Not measured",IF(E16=0,"n.a.",J16/E16))</x:f>
        <x:v>Not measured</x:v>
      </x:c>
      <x:c r="L16" s="18" t="str">
        <x:f>IF(COUNT(E16,I16)&lt;2,"Not measured",IF(E16=0,"n.a.",I16/E16))</x:f>
        <x:v>Not measured</x:v>
      </x:c>
    </x:row>
    <x:row r="17" ht="54" customHeight="1">
      <x:c r="A17" s="34"/>
      <x:c r="B17" s="35"/>
      <x:c r="C17" s="35"/>
      <x:c r="D17" s="34"/>
      <x:c r="E17" s="34"/>
      <x:c r="F17" s="34"/>
      <x:c r="G17" s="34"/>
      <x:c r="H17" s="34"/>
      <x:c r="I17" s="34"/>
      <x:c r="J17" s="10" t="str">
        <x:f>IF(COUNT(F17:I17)&lt;4,"Not measured",SUM(F17:I17))</x:f>
        <x:v>Not measured</x:v>
      </x:c>
      <x:c r="K17" s="18" t="str">
        <x:f>IF(OR(COUNT(E17)&lt;1,COUNT(J17)&lt;1),"Not measured",IF(E17=0,"n.a.",J17/E17))</x:f>
        <x:v>Not measured</x:v>
      </x:c>
      <x:c r="L17" s="18" t="str">
        <x:f>IF(COUNT(E17,I17)&lt;2,"Not measured",IF(E17=0,"n.a.",I17/E17))</x:f>
        <x:v>Not measured</x:v>
      </x:c>
    </x:row>
    <x:row r="18" ht="54" customHeight="1">
      <x:c r="A18" s="34"/>
      <x:c r="B18" s="35"/>
      <x:c r="C18" s="35"/>
      <x:c r="D18" s="34"/>
      <x:c r="E18" s="34"/>
      <x:c r="F18" s="34"/>
      <x:c r="G18" s="34"/>
      <x:c r="H18" s="34"/>
      <x:c r="I18" s="34"/>
      <x:c r="J18" s="10" t="str">
        <x:f>IF(COUNT(F18:I18)&lt;4,"Not measured",SUM(F18:I18))</x:f>
        <x:v>Not measured</x:v>
      </x:c>
      <x:c r="K18" s="18" t="str">
        <x:f>IF(OR(COUNT(E18)&lt;1,COUNT(J18)&lt;1),"Not measured",IF(E18=0,"n.a.",J18/E18))</x:f>
        <x:v>Not measured</x:v>
      </x:c>
      <x:c r="L18" s="18" t="str">
        <x:f>IF(COUNT(E18,I18)&lt;2,"Not measured",IF(E18=0,"n.a.",I18/E18))</x:f>
        <x:v>Not measured</x:v>
      </x:c>
    </x:row>
    <x:row r="19" ht="54" customHeight="1">
      <x:c r="A19" s="34"/>
      <x:c r="B19" s="35"/>
      <x:c r="C19" s="35"/>
      <x:c r="D19" s="34"/>
      <x:c r="E19" s="34"/>
      <x:c r="F19" s="34"/>
      <x:c r="G19" s="34"/>
      <x:c r="H19" s="34"/>
      <x:c r="I19" s="34"/>
      <x:c r="J19" s="10" t="str">
        <x:f>IF(COUNT(F19:I19)&lt;4,"Not measured",SUM(F19:I19))</x:f>
        <x:v>Not measured</x:v>
      </x:c>
      <x:c r="K19" s="18" t="str">
        <x:f>IF(OR(COUNT(E19)&lt;1,COUNT(J19)&lt;1),"Not measured",IF(E19=0,"n.a.",J19/E19))</x:f>
        <x:v>Not measured</x:v>
      </x:c>
      <x:c r="L19" s="18" t="str">
        <x:f>IF(COUNT(E19,I19)&lt;2,"Not measured",IF(E19=0,"n.a.",I19/E19))</x:f>
        <x:v>Not measured</x:v>
      </x:c>
    </x:row>
    <x:row r="20" ht="54" customHeight="1">
      <x:c r="A20" s="34"/>
      <x:c r="B20" s="35"/>
      <x:c r="C20" s="35"/>
      <x:c r="D20" s="34"/>
      <x:c r="E20" s="34"/>
      <x:c r="F20" s="34"/>
      <x:c r="G20" s="34"/>
      <x:c r="H20" s="34"/>
      <x:c r="I20" s="34"/>
      <x:c r="J20" s="10" t="str">
        <x:f>IF(COUNT(F20:I20)&lt;4,"Not measured",SUM(F20:I20))</x:f>
        <x:v>Not measured</x:v>
      </x:c>
      <x:c r="K20" s="18" t="str">
        <x:f>IF(OR(COUNT(E20)&lt;1,COUNT(J20)&lt;1),"Not measured",IF(E20=0,"n.a.",J20/E20))</x:f>
        <x:v>Not measured</x:v>
      </x:c>
      <x:c r="L20" s="18" t="str">
        <x:f>IF(COUNT(E20,I20)&lt;2,"Not measured",IF(E20=0,"n.a.",I20/E20))</x:f>
        <x:v>Not measured</x:v>
      </x:c>
    </x:row>
    <x:row r="21" ht="54" customHeight="1">
      <x:c r="A21" s="34"/>
      <x:c r="B21" s="35"/>
      <x:c r="C21" s="35"/>
      <x:c r="D21" s="34"/>
      <x:c r="E21" s="34"/>
      <x:c r="F21" s="34"/>
      <x:c r="G21" s="34"/>
      <x:c r="H21" s="34"/>
      <x:c r="I21" s="34"/>
      <x:c r="J21" s="10" t="str">
        <x:f>IF(COUNT(F21:I21)&lt;4,"Not measured",SUM(F21:I21))</x:f>
        <x:v>Not measured</x:v>
      </x:c>
      <x:c r="K21" s="18" t="str">
        <x:f>IF(OR(COUNT(E21)&lt;1,COUNT(J21)&lt;1),"Not measured",IF(E21=0,"n.a.",J21/E21))</x:f>
        <x:v>Not measured</x:v>
      </x:c>
      <x:c r="L21" s="18" t="str">
        <x:f>IF(COUNT(E21,I21)&lt;2,"Not measured",IF(E21=0,"n.a.",I21/E21))</x:f>
        <x:v>Not measured</x:v>
      </x:c>
    </x:row>
    <x:row r="22" ht="54" customHeight="1">
      <x:c r="A22" s="34"/>
      <x:c r="B22" s="35"/>
      <x:c r="C22" s="35"/>
      <x:c r="D22" s="34"/>
      <x:c r="E22" s="34"/>
      <x:c r="F22" s="34"/>
      <x:c r="G22" s="34"/>
      <x:c r="H22" s="34"/>
      <x:c r="I22" s="34"/>
      <x:c r="J22" s="10" t="str">
        <x:f>IF(COUNT(F22:I22)&lt;4,"Not measured",SUM(F22:I22))</x:f>
        <x:v>Not measured</x:v>
      </x:c>
      <x:c r="K22" s="18" t="str">
        <x:f>IF(OR(COUNT(E22)&lt;1,COUNT(J22)&lt;1),"Not measured",IF(E22=0,"n.a.",J22/E22))</x:f>
        <x:v>Not measured</x:v>
      </x:c>
      <x:c r="L22" s="18" t="str">
        <x:f>IF(COUNT(E22,I22)&lt;2,"Not measured",IF(E22=0,"n.a.",I22/E22))</x:f>
        <x:v>Not measured</x:v>
      </x:c>
    </x:row>
    <x:row r="23">
      <x:c r="A23" s="10"/>
      <x:c r="B23" s="10"/>
      <x:c r="C23" s="10"/>
      <x:c r="D23" s="10"/>
      <x:c r="E23" s="10"/>
      <x:c r="F23" s="10"/>
      <x:c r="G23" s="10"/>
      <x:c r="H23" s="10"/>
      <x:c r="I23" s="10"/>
      <x:c r="J23" s="10"/>
      <x:c r="K23" s="10"/>
      <x:c r="L23" s="10"/>
    </x:row>
    <x:row r="24" ht="85" customHeight="1">
      <x:c r="A24" s="10" t="str">
        <x:v>Source evidence</x:v>
      </x:c>
      <x:c r="B24" s="10" t="str">
        <x:v>Keep a dated native analytics screenshot per post. Capture missing metrics as blank; enter 0 only for known zero.</x:v>
      </x:c>
      <x:c r="C24" s="10"/>
      <x:c r="D24" s="10"/>
      <x:c r="E24" s="10"/>
      <x:c r="F24" s="10"/>
      <x:c r="G24" s="10"/>
      <x:c r="H24" s="10"/>
      <x:c r="I24" s="10"/>
      <x:c r="J24" s="10"/>
      <x:c r="K24" s="10"/>
      <x:c r="L24" s="10"/>
    </x:row>
    <x:row r="25">
      <x:c r="A25" s="10"/>
      <x:c r="B25" s="10"/>
      <x:c r="C25" s="10"/>
      <x:c r="D25" s="10"/>
      <x:c r="E25" s="10"/>
      <x:c r="F25" s="10"/>
      <x:c r="G25" s="10"/>
      <x:c r="H25" s="10"/>
      <x:c r="I25" s="10"/>
      <x:c r="J25" s="10"/>
      <x:c r="K25" s="10"/>
      <x:c r="L25" s="10"/>
    </x:row>
    <x:row r="26">
      <x:c r="A26" s="10"/>
      <x:c r="B26" s="10"/>
      <x:c r="C26" s="10"/>
      <x:c r="D26" s="10"/>
      <x:c r="E26" s="10"/>
      <x:c r="F26" s="10"/>
      <x:c r="G26" s="10"/>
      <x:c r="H26" s="10"/>
      <x:c r="I26" s="10"/>
      <x:c r="J26" s="10"/>
      <x:c r="K26" s="10"/>
      <x:c r="L26" s="10"/>
    </x:row>
  </x:sheetData>
  <x:dataValidations count="1">
    <x:dataValidation type="whole" operator="greaterThanOrEqual" sqref="E13:I22">
      <x:formula1>0</x:formula1>
    </x:dataValidation>
  </x:dataValidations>
  <x:pageMargins left="0.7" right="0.7" top="0.75" bottom="0.75" header="0.3" footer="0.3"/>
</x:worksheet>
</file>